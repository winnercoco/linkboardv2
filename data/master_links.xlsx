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1194730C-6F28-47A3-83A2-013A54CCF477}"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 name="Core_cat" sheetId="6" r:id="rId2"/>
    <sheet name="unusable" sheetId="5" r:id="rId3"/>
  </sheets>
  <definedNames>
    <definedName name="_xlnm._FilterDatabase" localSheetId="0" hidden="1">main_links!$A$1:$V$466</definedName>
    <definedName name="_xlnm._FilterDatabase" localSheetId="2"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2" i="2"/>
  <c r="A6" i="2"/>
  <c r="A9" i="2"/>
  <c r="A10" i="2"/>
  <c r="A16" i="2"/>
  <c r="A17" i="2"/>
  <c r="A26" i="2"/>
  <c r="A27" i="2"/>
  <c r="A28" i="2"/>
  <c r="A29" i="2"/>
  <c r="A30" i="2"/>
  <c r="A31" i="2"/>
  <c r="A18" i="2"/>
  <c r="A19" i="2"/>
  <c r="A20" i="2"/>
  <c r="A60" i="2"/>
  <c r="A61" i="2"/>
  <c r="A62" i="2"/>
  <c r="A63" i="2"/>
  <c r="A64" i="2"/>
  <c r="A65" i="2"/>
  <c r="A104" i="2"/>
  <c r="A105" i="2"/>
  <c r="A25" i="2"/>
  <c r="A32" i="2"/>
  <c r="A33" i="2"/>
  <c r="A34" i="2"/>
  <c r="A35" i="2"/>
  <c r="A36" i="2"/>
  <c r="A37" i="2"/>
  <c r="A38" i="2"/>
  <c r="A39" i="2"/>
  <c r="A40" i="2"/>
  <c r="A106" i="2"/>
  <c r="A107" i="2"/>
  <c r="A108" i="2"/>
  <c r="A109" i="2"/>
  <c r="A141" i="2"/>
  <c r="A142" i="2"/>
  <c r="A143" i="2"/>
  <c r="A144" i="2"/>
  <c r="A145" i="2"/>
  <c r="A146" i="2"/>
  <c r="A147" i="2"/>
  <c r="A178" i="2"/>
  <c r="A179" i="2"/>
  <c r="A206" i="2"/>
  <c r="A217" i="2"/>
  <c r="A218" i="2"/>
  <c r="A219" i="2"/>
  <c r="A220" i="2"/>
  <c r="A221" i="2"/>
  <c r="A228" i="2"/>
  <c r="A229" i="2"/>
  <c r="A41" i="2"/>
  <c r="A42" i="2"/>
  <c r="A43" i="2"/>
  <c r="A66" i="2"/>
  <c r="A67" i="2"/>
  <c r="A68" i="2"/>
  <c r="A69" i="2"/>
  <c r="A70" i="2"/>
  <c r="A71" i="2"/>
  <c r="A72" i="2"/>
  <c r="A73" i="2"/>
  <c r="A74" i="2"/>
  <c r="A75" i="2"/>
  <c r="A76" i="2"/>
  <c r="A77" i="2"/>
  <c r="A78" i="2"/>
  <c r="A79" i="2"/>
  <c r="A80" i="2"/>
  <c r="A230" i="2"/>
  <c r="A231" i="2"/>
  <c r="A232" i="2"/>
  <c r="A233" i="2"/>
  <c r="A234" i="2"/>
  <c r="A235" i="2"/>
  <c r="A236" i="2"/>
  <c r="A237" i="2"/>
  <c r="A238" i="2"/>
  <c r="A239" i="2"/>
  <c r="A240" i="2"/>
  <c r="A241" i="2"/>
  <c r="A242" i="2"/>
  <c r="A243" i="2"/>
  <c r="A244" i="2"/>
  <c r="A222" i="2"/>
  <c r="A223" i="2"/>
  <c r="A224" i="2"/>
  <c r="A225" i="2"/>
  <c r="A226" i="2"/>
  <c r="A227" i="2"/>
  <c r="A245" i="2"/>
  <c r="A246" i="2"/>
  <c r="A247" i="2"/>
  <c r="A248" i="2"/>
  <c r="A81" i="2"/>
  <c r="A82" i="2"/>
  <c r="A83" i="2"/>
  <c r="A84" i="2"/>
  <c r="A110" i="2"/>
  <c r="A111" i="2"/>
  <c r="A112" i="2"/>
  <c r="A113" i="2"/>
  <c r="A114" i="2"/>
  <c r="A115" i="2"/>
  <c r="A116" i="2"/>
  <c r="A117" i="2"/>
  <c r="A118" i="2"/>
  <c r="A249" i="2"/>
  <c r="A250" i="2"/>
  <c r="A251" i="2"/>
  <c r="A252" i="2"/>
  <c r="A253" i="2"/>
  <c r="A254" i="2"/>
  <c r="A255" i="2"/>
  <c r="A256" i="2"/>
  <c r="A257" i="2"/>
  <c r="A258" i="2"/>
  <c r="A259" i="2"/>
  <c r="A260" i="2"/>
  <c r="A261" i="2"/>
  <c r="A323" i="2"/>
  <c r="A324" i="2"/>
  <c r="A325" i="2"/>
  <c r="A326" i="2"/>
  <c r="A327" i="2"/>
  <c r="A328" i="2"/>
  <c r="A329" i="2"/>
  <c r="A330" i="2"/>
  <c r="A331" i="2"/>
  <c r="A332" i="2"/>
  <c r="A119" i="2"/>
  <c r="A120" i="2"/>
  <c r="A121" i="2"/>
  <c r="A122" i="2"/>
  <c r="A123" i="2"/>
  <c r="A148" i="2"/>
  <c r="A149" i="2"/>
  <c r="A150" i="2"/>
  <c r="A151" i="2"/>
  <c r="A152" i="2"/>
  <c r="A153" i="2"/>
  <c r="A154" i="2"/>
  <c r="A155"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156" i="2"/>
  <c r="A157" i="2"/>
  <c r="A158" i="2"/>
  <c r="A159" i="2"/>
  <c r="A180" i="2"/>
  <c r="A181" i="2"/>
  <c r="A182" i="2"/>
  <c r="A183" i="2"/>
  <c r="A184" i="2"/>
  <c r="A185" i="2"/>
  <c r="A186" i="2"/>
  <c r="A15" i="2"/>
  <c r="A44" i="2"/>
  <c r="A85" i="2"/>
  <c r="A59" i="2"/>
  <c r="A103" i="2"/>
  <c r="A11" i="2"/>
  <c r="A12" i="2"/>
  <c r="A140" i="2"/>
  <c r="A160" i="2"/>
  <c r="A161" i="2"/>
  <c r="A21" i="2"/>
  <c r="A187" i="2"/>
  <c r="A188" i="2"/>
  <c r="A189" i="2"/>
  <c r="A190" i="2"/>
  <c r="A191" i="2"/>
  <c r="A192" i="2"/>
  <c r="A193" i="2"/>
  <c r="A194" i="2"/>
  <c r="A195" i="2"/>
  <c r="A196" i="2"/>
  <c r="A207" i="2"/>
  <c r="A22" i="2"/>
  <c r="A162" i="2"/>
  <c r="A197" i="2"/>
  <c r="A301" i="2"/>
  <c r="A86" i="2"/>
  <c r="A208" i="2"/>
  <c r="A209" i="2"/>
  <c r="A87" i="2"/>
  <c r="A302" i="2"/>
  <c r="A214" i="2"/>
  <c r="A303" i="2"/>
  <c r="A304" i="2"/>
  <c r="A305" i="2"/>
  <c r="A306" i="2"/>
  <c r="A163" i="2"/>
  <c r="A164" i="2"/>
  <c r="A45" i="2"/>
  <c r="A46" i="2"/>
  <c r="A47" i="2"/>
  <c r="A198" i="2"/>
  <c r="A88" i="2"/>
  <c r="A165" i="2"/>
  <c r="A307" i="2"/>
  <c r="A308" i="2"/>
  <c r="A14" i="2"/>
  <c r="A89" i="2"/>
  <c r="A166" i="2"/>
  <c r="A199" i="2"/>
  <c r="A309" i="2"/>
  <c r="A310" i="2"/>
  <c r="A311" i="2"/>
  <c r="A312" i="2"/>
  <c r="A313" i="2"/>
  <c r="A314" i="2"/>
  <c r="A315" i="2"/>
  <c r="A316" i="2"/>
  <c r="A90" i="2"/>
  <c r="A91" i="2"/>
  <c r="A92" i="2"/>
  <c r="A317" i="2"/>
  <c r="A318" i="2"/>
  <c r="A48" i="2"/>
  <c r="A49" i="2"/>
  <c r="A50" i="2"/>
  <c r="A51" i="2"/>
  <c r="A52" i="2"/>
  <c r="A53" i="2"/>
  <c r="A93" i="2"/>
  <c r="A94" i="2"/>
  <c r="A95" i="2"/>
  <c r="A124" i="2"/>
  <c r="A125" i="2"/>
  <c r="A126" i="2"/>
  <c r="A127" i="2"/>
  <c r="A128" i="2"/>
  <c r="A129" i="2"/>
  <c r="A167" i="2"/>
  <c r="A168" i="2"/>
  <c r="A169" i="2"/>
  <c r="A170" i="2"/>
  <c r="A171" i="2"/>
  <c r="A200" i="2"/>
  <c r="A210" i="2"/>
  <c r="A319" i="2"/>
  <c r="A320" i="2"/>
  <c r="A359" i="2"/>
  <c r="A360" i="2"/>
  <c r="A361" i="2"/>
  <c r="A362" i="2"/>
  <c r="A262" i="2"/>
  <c r="A263" i="2"/>
  <c r="A264" i="2"/>
  <c r="A265" i="2"/>
  <c r="A266" i="2"/>
  <c r="A211" i="2"/>
  <c r="A267" i="2"/>
  <c r="A268" i="2"/>
  <c r="A201" i="2"/>
  <c r="A202" i="2"/>
  <c r="A269" i="2"/>
  <c r="A270" i="2"/>
  <c r="A271" i="2"/>
  <c r="A272" i="2"/>
  <c r="A273" i="2"/>
  <c r="A274" i="2"/>
  <c r="A363" i="2"/>
  <c r="A364" i="2"/>
  <c r="A365" i="2"/>
  <c r="A366" i="2"/>
  <c r="A367" i="2"/>
  <c r="A368" i="2"/>
  <c r="A369" i="2"/>
  <c r="A275" i="2"/>
  <c r="A276" i="2"/>
  <c r="A277" i="2"/>
  <c r="A370" i="2"/>
  <c r="A371" i="2"/>
  <c r="A373" i="2"/>
  <c r="A375" i="2"/>
  <c r="A376" i="2"/>
  <c r="A377" i="2"/>
  <c r="A378" i="2"/>
  <c r="A389" i="2"/>
  <c r="A390" i="2"/>
  <c r="A391" i="2"/>
  <c r="A392" i="2"/>
  <c r="A393" i="2"/>
  <c r="A394" i="2"/>
  <c r="A395" i="2"/>
  <c r="A396" i="2"/>
  <c r="A397" i="2"/>
  <c r="A398" i="2"/>
  <c r="A399" i="2"/>
  <c r="A400" i="2"/>
  <c r="A172" i="2"/>
  <c r="A401" i="2"/>
  <c r="A402" i="2"/>
  <c r="A403" i="2"/>
  <c r="A23" i="2"/>
  <c r="A404" i="2"/>
  <c r="A405" i="2"/>
  <c r="A372" i="2"/>
  <c r="A406" i="2"/>
  <c r="A374" i="2"/>
  <c r="A407" i="2"/>
  <c r="A408" i="2"/>
  <c r="A409" i="2"/>
  <c r="A410" i="2"/>
  <c r="A5" i="2"/>
  <c r="A2" i="2"/>
  <c r="A54" i="2"/>
  <c r="A96" i="2"/>
  <c r="A130" i="2"/>
  <c r="A131" i="2"/>
  <c r="A132" i="2"/>
  <c r="A133" i="2"/>
  <c r="A173" i="2"/>
  <c r="A174" i="2"/>
  <c r="A175" i="2"/>
  <c r="A379" i="2"/>
  <c r="A380" i="2"/>
  <c r="A381" i="2"/>
  <c r="A382" i="2"/>
  <c r="A383" i="2"/>
  <c r="A384" i="2"/>
  <c r="A385" i="2"/>
  <c r="A386" i="2"/>
  <c r="A387" i="2"/>
  <c r="A388" i="2"/>
  <c r="A411" i="2"/>
  <c r="A412" i="2"/>
  <c r="A413" i="2"/>
  <c r="A414" i="2"/>
  <c r="A415" i="2"/>
  <c r="A416" i="2"/>
  <c r="A417" i="2"/>
  <c r="A418" i="2"/>
  <c r="A419" i="2"/>
  <c r="A420" i="2"/>
  <c r="A421" i="2"/>
  <c r="A422" i="2"/>
  <c r="A423" i="2"/>
  <c r="A424" i="2"/>
  <c r="A212" i="2"/>
  <c r="A425" i="2"/>
  <c r="A426" i="2"/>
  <c r="A427" i="2"/>
  <c r="A204" i="2"/>
  <c r="A428" i="2"/>
  <c r="A429" i="2"/>
  <c r="A430" i="2"/>
  <c r="A442" i="2"/>
  <c r="A445" i="2"/>
  <c r="A446" i="2"/>
  <c r="A447" i="2"/>
  <c r="A448" i="2"/>
  <c r="A449" i="2"/>
  <c r="A213" i="2"/>
  <c r="A450" i="2"/>
  <c r="A451" i="2"/>
  <c r="A452" i="2"/>
  <c r="A453" i="2"/>
  <c r="A456" i="2"/>
  <c r="A278" i="2"/>
  <c r="A279" i="2"/>
  <c r="A280" i="2"/>
  <c r="A281" i="2"/>
  <c r="A282" i="2"/>
  <c r="A283" i="2"/>
  <c r="A284" i="2"/>
  <c r="A285" i="2"/>
  <c r="A286" i="2"/>
  <c r="A4" i="2"/>
  <c r="A7" i="2"/>
  <c r="A55" i="2"/>
  <c r="A97" i="2"/>
  <c r="A134" i="2"/>
  <c r="A135" i="2"/>
  <c r="A136" i="2"/>
  <c r="A176" i="2"/>
  <c r="A3" i="2"/>
  <c r="A98" i="2"/>
  <c r="A287" i="2"/>
  <c r="A288" i="2"/>
  <c r="A289" i="2"/>
  <c r="A431" i="2"/>
  <c r="A432" i="2"/>
  <c r="A433" i="2"/>
  <c r="A434" i="2"/>
  <c r="A435" i="2"/>
  <c r="A436" i="2"/>
  <c r="A437" i="2"/>
  <c r="A438" i="2"/>
  <c r="A439" i="2"/>
  <c r="A440" i="2"/>
  <c r="A441" i="2"/>
  <c r="A24" i="2"/>
  <c r="A56" i="2"/>
  <c r="A177" i="2"/>
  <c r="A290" i="2"/>
  <c r="A443" i="2"/>
  <c r="A444" i="2"/>
  <c r="A291" i="2"/>
  <c r="A292" i="2"/>
  <c r="A293" i="2"/>
  <c r="A294" i="2"/>
  <c r="A295" i="2"/>
  <c r="A296" i="2"/>
  <c r="A297" i="2"/>
  <c r="A298" i="2"/>
  <c r="A299" i="2"/>
  <c r="A300" i="2"/>
  <c r="A454" i="2"/>
  <c r="A455" i="2"/>
  <c r="A321" i="2"/>
  <c r="A203" i="2"/>
  <c r="A215" i="2"/>
  <c r="A216" i="2"/>
  <c r="A322" i="2"/>
  <c r="A57" i="2"/>
  <c r="A58" i="2"/>
  <c r="A99" i="2"/>
  <c r="A100" i="2"/>
  <c r="A101" i="2"/>
  <c r="A102" i="2"/>
  <c r="A137" i="2"/>
  <c r="A138" i="2"/>
  <c r="A139" i="2"/>
  <c r="A205" i="2"/>
  <c r="A457" i="2"/>
  <c r="A13" i="2"/>
  <c r="A458" i="2"/>
  <c r="A459" i="2"/>
  <c r="A460" i="2"/>
  <c r="A461" i="2"/>
  <c r="A462" i="2"/>
  <c r="A463" i="2"/>
  <c r="A464" i="2"/>
  <c r="A465" i="2"/>
  <c r="A466" i="2"/>
  <c r="V6" i="2"/>
  <c r="V9" i="2"/>
  <c r="V10" i="2"/>
  <c r="V16" i="2"/>
  <c r="V17" i="2"/>
  <c r="V26" i="2"/>
  <c r="V27" i="2"/>
  <c r="V28" i="2"/>
  <c r="V29" i="2"/>
  <c r="V30" i="2"/>
  <c r="V31" i="2"/>
  <c r="V18" i="2"/>
  <c r="V19" i="2"/>
  <c r="V20" i="2"/>
  <c r="V60" i="2"/>
  <c r="V61" i="2"/>
  <c r="V62" i="2"/>
  <c r="V63" i="2"/>
  <c r="V64" i="2"/>
  <c r="V65" i="2"/>
  <c r="V104" i="2"/>
  <c r="V105" i="2"/>
  <c r="V25" i="2"/>
  <c r="V32" i="2"/>
  <c r="V33" i="2"/>
  <c r="V34" i="2"/>
  <c r="V35" i="2"/>
  <c r="V36" i="2"/>
  <c r="V37" i="2"/>
  <c r="V38" i="2"/>
  <c r="V39" i="2"/>
  <c r="V40" i="2"/>
  <c r="V106" i="2"/>
  <c r="V107" i="2"/>
  <c r="V108" i="2"/>
  <c r="V109" i="2"/>
  <c r="V141" i="2"/>
  <c r="V142" i="2"/>
  <c r="V143" i="2"/>
  <c r="V144" i="2"/>
  <c r="V145" i="2"/>
  <c r="V146" i="2"/>
  <c r="V147" i="2"/>
  <c r="V178" i="2"/>
  <c r="V179" i="2"/>
  <c r="V206" i="2"/>
  <c r="V217" i="2"/>
  <c r="V218" i="2"/>
  <c r="V219" i="2"/>
  <c r="V220" i="2"/>
  <c r="V221" i="2"/>
  <c r="V228" i="2"/>
  <c r="V229" i="2"/>
  <c r="V41" i="2"/>
  <c r="V42" i="2"/>
  <c r="V43" i="2"/>
  <c r="V66" i="2"/>
  <c r="V67" i="2"/>
  <c r="V68" i="2"/>
  <c r="V69" i="2"/>
  <c r="V70" i="2"/>
  <c r="V71" i="2"/>
  <c r="V72" i="2"/>
  <c r="V73" i="2"/>
  <c r="V74" i="2"/>
  <c r="V75" i="2"/>
  <c r="V76" i="2"/>
  <c r="V77" i="2"/>
  <c r="V78" i="2"/>
  <c r="V79" i="2"/>
  <c r="V80" i="2"/>
  <c r="V230" i="2"/>
  <c r="V231" i="2"/>
  <c r="V232" i="2"/>
  <c r="V233" i="2"/>
  <c r="V234" i="2"/>
  <c r="V235" i="2"/>
  <c r="V236" i="2"/>
  <c r="V237" i="2"/>
  <c r="V238" i="2"/>
  <c r="V239" i="2"/>
  <c r="V240" i="2"/>
  <c r="V241" i="2"/>
  <c r="V242" i="2"/>
  <c r="V243" i="2"/>
  <c r="V244" i="2"/>
  <c r="V222" i="2"/>
  <c r="V223" i="2"/>
  <c r="V224" i="2"/>
  <c r="V225" i="2"/>
  <c r="V226" i="2"/>
  <c r="V227" i="2"/>
  <c r="V245" i="2"/>
  <c r="V246" i="2"/>
  <c r="V247" i="2"/>
  <c r="V248" i="2"/>
  <c r="V81" i="2"/>
  <c r="V82" i="2"/>
  <c r="V83" i="2"/>
  <c r="V84" i="2"/>
  <c r="V110" i="2"/>
  <c r="V111" i="2"/>
  <c r="V112" i="2"/>
  <c r="V113" i="2"/>
  <c r="V114" i="2"/>
  <c r="V115" i="2"/>
  <c r="V116" i="2"/>
  <c r="V117" i="2"/>
  <c r="V118" i="2"/>
  <c r="V249" i="2"/>
  <c r="V250" i="2"/>
  <c r="V251" i="2"/>
  <c r="V252" i="2"/>
  <c r="V253" i="2"/>
  <c r="V254" i="2"/>
  <c r="V255" i="2"/>
  <c r="V256" i="2"/>
  <c r="V257" i="2"/>
  <c r="V258" i="2"/>
  <c r="V259" i="2"/>
  <c r="V260" i="2"/>
  <c r="V261" i="2"/>
  <c r="V323" i="2"/>
  <c r="V324" i="2"/>
  <c r="V325" i="2"/>
  <c r="V326" i="2"/>
  <c r="V327" i="2"/>
  <c r="V328" i="2"/>
  <c r="V329" i="2"/>
  <c r="V330" i="2"/>
  <c r="V331" i="2"/>
  <c r="V332" i="2"/>
  <c r="V119" i="2"/>
  <c r="V120" i="2"/>
  <c r="V121" i="2"/>
  <c r="V122" i="2"/>
  <c r="V123" i="2"/>
  <c r="V148" i="2"/>
  <c r="V149" i="2"/>
  <c r="V150" i="2"/>
  <c r="V151" i="2"/>
  <c r="V152" i="2"/>
  <c r="V153" i="2"/>
  <c r="V154" i="2"/>
  <c r="V155"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156" i="2"/>
  <c r="V157" i="2"/>
  <c r="V158" i="2"/>
  <c r="V159" i="2"/>
  <c r="V180" i="2"/>
  <c r="V181" i="2"/>
  <c r="V182" i="2"/>
  <c r="V183" i="2"/>
  <c r="V184" i="2"/>
  <c r="V185" i="2"/>
  <c r="V186" i="2"/>
  <c r="V15" i="2"/>
  <c r="V44" i="2"/>
  <c r="V85" i="2"/>
  <c r="V59" i="2"/>
  <c r="V103" i="2"/>
  <c r="V11" i="2"/>
  <c r="V12" i="2"/>
  <c r="V140" i="2"/>
  <c r="V160" i="2"/>
  <c r="V161" i="2"/>
  <c r="V21" i="2"/>
  <c r="V187" i="2"/>
  <c r="V188" i="2"/>
  <c r="V189" i="2"/>
  <c r="V190" i="2"/>
  <c r="V191" i="2"/>
  <c r="V192" i="2"/>
  <c r="V193" i="2"/>
  <c r="V194" i="2"/>
  <c r="V195" i="2"/>
  <c r="V196" i="2"/>
  <c r="V207" i="2"/>
  <c r="V22" i="2"/>
  <c r="V162" i="2"/>
  <c r="V197" i="2"/>
  <c r="V301" i="2"/>
  <c r="V86" i="2"/>
  <c r="V208" i="2"/>
  <c r="V209" i="2"/>
  <c r="V87" i="2"/>
  <c r="V302" i="2"/>
  <c r="V214" i="2"/>
  <c r="V303" i="2"/>
  <c r="V304" i="2"/>
  <c r="V305" i="2"/>
  <c r="V306" i="2"/>
  <c r="V163" i="2"/>
  <c r="V164" i="2"/>
  <c r="V45" i="2"/>
  <c r="V46" i="2"/>
  <c r="V47" i="2"/>
  <c r="V198" i="2"/>
  <c r="V88" i="2"/>
  <c r="V165" i="2"/>
  <c r="V307" i="2"/>
  <c r="V308" i="2"/>
  <c r="V14" i="2"/>
  <c r="V89" i="2"/>
  <c r="V166" i="2"/>
  <c r="V199" i="2"/>
  <c r="V309" i="2"/>
  <c r="V310" i="2"/>
  <c r="V311" i="2"/>
  <c r="V312" i="2"/>
  <c r="V313" i="2"/>
  <c r="V314" i="2"/>
  <c r="V315" i="2"/>
  <c r="V316" i="2"/>
  <c r="V90" i="2"/>
  <c r="V91" i="2"/>
  <c r="V92" i="2"/>
  <c r="V317" i="2"/>
  <c r="V318" i="2"/>
  <c r="V48" i="2"/>
  <c r="V49" i="2"/>
  <c r="V50" i="2"/>
  <c r="V51" i="2"/>
  <c r="V52" i="2"/>
  <c r="V53" i="2"/>
  <c r="V93" i="2"/>
  <c r="V94" i="2"/>
  <c r="V95" i="2"/>
  <c r="V124" i="2"/>
  <c r="V125" i="2"/>
  <c r="V126" i="2"/>
  <c r="V127" i="2"/>
  <c r="V128" i="2"/>
  <c r="V129" i="2"/>
  <c r="V167" i="2"/>
  <c r="V168" i="2"/>
  <c r="V169" i="2"/>
  <c r="V170" i="2"/>
  <c r="V171" i="2"/>
  <c r="V200" i="2"/>
  <c r="V210" i="2"/>
  <c r="V319" i="2"/>
  <c r="V320" i="2"/>
  <c r="V359" i="2"/>
  <c r="V360" i="2"/>
  <c r="V361" i="2"/>
  <c r="V362" i="2"/>
  <c r="V262" i="2"/>
  <c r="V263" i="2"/>
  <c r="V264" i="2"/>
  <c r="V265" i="2"/>
  <c r="V266" i="2"/>
  <c r="V211" i="2"/>
  <c r="V267" i="2"/>
  <c r="V268" i="2"/>
  <c r="V201" i="2"/>
  <c r="V202" i="2"/>
  <c r="V269" i="2"/>
  <c r="V270" i="2"/>
  <c r="V271" i="2"/>
  <c r="V272" i="2"/>
  <c r="V273" i="2"/>
  <c r="V274" i="2"/>
  <c r="V363" i="2"/>
  <c r="V364" i="2"/>
  <c r="V365" i="2"/>
  <c r="V366" i="2"/>
  <c r="V367" i="2"/>
  <c r="V368" i="2"/>
  <c r="V369" i="2"/>
  <c r="V275" i="2"/>
  <c r="V276" i="2"/>
  <c r="V277" i="2"/>
  <c r="V370" i="2"/>
  <c r="V371" i="2"/>
  <c r="V373" i="2"/>
  <c r="V375" i="2"/>
  <c r="V376" i="2"/>
  <c r="V377" i="2"/>
  <c r="V378" i="2"/>
  <c r="V389" i="2"/>
  <c r="V390" i="2"/>
  <c r="V391" i="2"/>
  <c r="V392" i="2"/>
  <c r="V393" i="2"/>
  <c r="V394" i="2"/>
  <c r="V395" i="2"/>
  <c r="V396" i="2"/>
  <c r="V397" i="2"/>
  <c r="V398" i="2"/>
  <c r="V399" i="2"/>
  <c r="V400" i="2"/>
  <c r="V172" i="2"/>
  <c r="V401" i="2"/>
  <c r="V402" i="2"/>
  <c r="V403" i="2"/>
  <c r="V23" i="2"/>
  <c r="V404" i="2"/>
  <c r="V405" i="2"/>
  <c r="V372" i="2"/>
  <c r="V406" i="2"/>
  <c r="V374" i="2"/>
  <c r="V407" i="2"/>
  <c r="V408" i="2"/>
  <c r="V409" i="2"/>
  <c r="V410" i="2"/>
  <c r="V5" i="2"/>
  <c r="V2" i="2"/>
  <c r="V54" i="2"/>
  <c r="V96" i="2"/>
  <c r="V130" i="2"/>
  <c r="V131" i="2"/>
  <c r="V132" i="2"/>
  <c r="V133" i="2"/>
  <c r="V173" i="2"/>
  <c r="V174" i="2"/>
  <c r="V175" i="2"/>
  <c r="V379" i="2"/>
  <c r="V380" i="2"/>
  <c r="V381" i="2"/>
  <c r="V382" i="2"/>
  <c r="V383" i="2"/>
  <c r="V384" i="2"/>
  <c r="V385" i="2"/>
  <c r="V386" i="2"/>
  <c r="V387" i="2"/>
  <c r="V388" i="2"/>
  <c r="V411" i="2"/>
  <c r="V412" i="2"/>
  <c r="V413" i="2"/>
  <c r="V414" i="2"/>
  <c r="V415" i="2"/>
  <c r="V416" i="2"/>
  <c r="V417" i="2"/>
  <c r="V418" i="2"/>
  <c r="V419" i="2"/>
  <c r="V420" i="2"/>
  <c r="V421" i="2"/>
  <c r="V422" i="2"/>
  <c r="V423" i="2"/>
  <c r="V424" i="2"/>
  <c r="V212" i="2"/>
  <c r="V425" i="2"/>
  <c r="V426" i="2"/>
  <c r="V427" i="2"/>
  <c r="V204" i="2"/>
  <c r="V428" i="2"/>
  <c r="V429" i="2"/>
  <c r="V430" i="2"/>
  <c r="V442" i="2"/>
  <c r="V445" i="2"/>
  <c r="V446" i="2"/>
  <c r="V447" i="2"/>
  <c r="V448" i="2"/>
  <c r="V449" i="2"/>
  <c r="V213" i="2"/>
  <c r="V450" i="2"/>
  <c r="V451" i="2"/>
  <c r="V452" i="2"/>
  <c r="V453" i="2"/>
  <c r="V456" i="2"/>
  <c r="V278" i="2"/>
  <c r="V279" i="2"/>
  <c r="V280" i="2"/>
  <c r="V281" i="2"/>
  <c r="V282" i="2"/>
  <c r="V283" i="2"/>
  <c r="V284" i="2"/>
  <c r="V285" i="2"/>
  <c r="V286" i="2"/>
  <c r="V4" i="2"/>
  <c r="V7" i="2"/>
  <c r="V55" i="2"/>
  <c r="V97" i="2"/>
  <c r="V134" i="2"/>
  <c r="V135" i="2"/>
  <c r="V136" i="2"/>
  <c r="V176" i="2"/>
  <c r="V3" i="2"/>
  <c r="V98" i="2"/>
  <c r="V287" i="2"/>
  <c r="V288" i="2"/>
  <c r="V289" i="2"/>
  <c r="V431" i="2"/>
  <c r="V432" i="2"/>
  <c r="V433" i="2"/>
  <c r="V434" i="2"/>
  <c r="V435" i="2"/>
  <c r="V436" i="2"/>
  <c r="V437" i="2"/>
  <c r="V438" i="2"/>
  <c r="V439" i="2"/>
  <c r="V440" i="2"/>
  <c r="V441" i="2"/>
  <c r="V24" i="2"/>
  <c r="V56" i="2"/>
  <c r="V177" i="2"/>
  <c r="V290" i="2"/>
  <c r="V443" i="2"/>
  <c r="V444" i="2"/>
  <c r="V291" i="2"/>
  <c r="V292" i="2"/>
  <c r="V293" i="2"/>
  <c r="V294" i="2"/>
  <c r="V295" i="2"/>
  <c r="V296" i="2"/>
  <c r="V297" i="2"/>
  <c r="V298" i="2"/>
  <c r="V299" i="2"/>
  <c r="V300" i="2"/>
  <c r="V454" i="2"/>
  <c r="V455" i="2"/>
  <c r="V321" i="2"/>
  <c r="V203" i="2"/>
  <c r="V215" i="2"/>
  <c r="V216" i="2"/>
  <c r="V322" i="2"/>
  <c r="V57" i="2"/>
  <c r="V58" i="2"/>
  <c r="V99" i="2"/>
  <c r="V100" i="2"/>
  <c r="V101" i="2"/>
  <c r="V102" i="2"/>
  <c r="V137" i="2"/>
  <c r="V138" i="2"/>
  <c r="V139" i="2"/>
  <c r="V205" i="2"/>
  <c r="V457" i="2"/>
  <c r="V13" i="2"/>
  <c r="V458" i="2"/>
  <c r="V459" i="2"/>
  <c r="V460" i="2"/>
  <c r="V461" i="2"/>
  <c r="V462" i="2"/>
  <c r="V463" i="2"/>
  <c r="V464" i="2"/>
  <c r="V465" i="2"/>
  <c r="V466" i="2"/>
  <c r="T6" i="2" a="1"/>
  <c r="T9" i="2" a="1"/>
  <c r="T10" i="2" a="1"/>
  <c r="T16" i="2" a="1"/>
  <c r="T17" i="2" a="1"/>
  <c r="T26" i="2" a="1"/>
  <c r="T27" i="2" a="1"/>
  <c r="T28" i="2" a="1"/>
  <c r="T29" i="2" a="1"/>
  <c r="T30" i="2" a="1"/>
  <c r="T31" i="2" a="1"/>
  <c r="T18" i="2" a="1"/>
  <c r="T19" i="2" a="1"/>
  <c r="T20" i="2" a="1"/>
  <c r="T60" i="2" a="1"/>
  <c r="T61" i="2" a="1"/>
  <c r="T62" i="2" a="1"/>
  <c r="T63" i="2" a="1"/>
  <c r="T64" i="2" a="1"/>
  <c r="T65" i="2" a="1"/>
  <c r="T104" i="2" a="1"/>
  <c r="T105" i="2" a="1"/>
  <c r="T25" i="2" a="1"/>
  <c r="T32" i="2" a="1"/>
  <c r="T33" i="2" a="1"/>
  <c r="T34" i="2" a="1"/>
  <c r="T35" i="2" a="1"/>
  <c r="T36" i="2" a="1"/>
  <c r="T37" i="2" a="1"/>
  <c r="T38" i="2" a="1"/>
  <c r="T39" i="2" a="1"/>
  <c r="T40" i="2" a="1"/>
  <c r="T106" i="2" a="1"/>
  <c r="T107" i="2" a="1"/>
  <c r="T108" i="2" a="1"/>
  <c r="T109" i="2" a="1"/>
  <c r="T141" i="2" a="1"/>
  <c r="T142" i="2" a="1"/>
  <c r="T143" i="2" a="1"/>
  <c r="T144" i="2" a="1"/>
  <c r="T145" i="2" a="1"/>
  <c r="T146" i="2" a="1"/>
  <c r="T147" i="2" a="1"/>
  <c r="T178" i="2" a="1"/>
  <c r="T179" i="2" a="1"/>
  <c r="T206" i="2" a="1"/>
  <c r="T217" i="2" a="1"/>
  <c r="T218" i="2" a="1"/>
  <c r="T219" i="2" a="1"/>
  <c r="T220" i="2" a="1"/>
  <c r="T221" i="2" a="1"/>
  <c r="T228" i="2" a="1"/>
  <c r="T229" i="2" a="1"/>
  <c r="T41" i="2" a="1"/>
  <c r="T42" i="2" a="1"/>
  <c r="T43" i="2" a="1"/>
  <c r="T66" i="2" a="1"/>
  <c r="T67" i="2" a="1"/>
  <c r="T68" i="2" a="1"/>
  <c r="T69" i="2" a="1"/>
  <c r="T70" i="2" a="1"/>
  <c r="T71" i="2" a="1"/>
  <c r="T72" i="2" a="1"/>
  <c r="T73" i="2" a="1"/>
  <c r="T74" i="2" a="1"/>
  <c r="T75" i="2" a="1"/>
  <c r="T76" i="2" a="1"/>
  <c r="T77" i="2" a="1"/>
  <c r="T78" i="2" a="1"/>
  <c r="T79" i="2" a="1"/>
  <c r="T80" i="2" a="1"/>
  <c r="T230" i="2" a="1"/>
  <c r="T231" i="2" a="1"/>
  <c r="T232" i="2" a="1"/>
  <c r="T233" i="2" a="1"/>
  <c r="T234" i="2" a="1"/>
  <c r="T235" i="2" a="1"/>
  <c r="T236" i="2" a="1"/>
  <c r="T237" i="2" a="1"/>
  <c r="T238" i="2" a="1"/>
  <c r="T239" i="2" a="1"/>
  <c r="T240" i="2" a="1"/>
  <c r="T241" i="2" a="1"/>
  <c r="T242" i="2" a="1"/>
  <c r="T243" i="2" a="1"/>
  <c r="T244" i="2" a="1"/>
  <c r="T222" i="2" a="1"/>
  <c r="T223" i="2" a="1"/>
  <c r="T224" i="2" a="1"/>
  <c r="T225" i="2" a="1"/>
  <c r="T226" i="2" a="1"/>
  <c r="T227" i="2" a="1"/>
  <c r="T245" i="2" a="1"/>
  <c r="T246" i="2" a="1"/>
  <c r="T247" i="2" a="1"/>
  <c r="T248" i="2" a="1"/>
  <c r="T81" i="2" a="1"/>
  <c r="T82" i="2" a="1"/>
  <c r="T83" i="2" a="1"/>
  <c r="T84" i="2" a="1"/>
  <c r="T110" i="2" a="1"/>
  <c r="T111" i="2" a="1"/>
  <c r="T112" i="2" a="1"/>
  <c r="T113" i="2" a="1"/>
  <c r="T114" i="2" a="1"/>
  <c r="T115" i="2" a="1"/>
  <c r="T116" i="2" a="1"/>
  <c r="T117" i="2" a="1"/>
  <c r="T118" i="2" a="1"/>
  <c r="T249" i="2" a="1"/>
  <c r="T250" i="2" a="1"/>
  <c r="T251" i="2" a="1"/>
  <c r="T252" i="2" a="1"/>
  <c r="T253" i="2" a="1"/>
  <c r="T254" i="2" a="1"/>
  <c r="T255" i="2" a="1"/>
  <c r="T256" i="2" a="1"/>
  <c r="T257" i="2" a="1"/>
  <c r="T258" i="2" a="1"/>
  <c r="T259" i="2" a="1"/>
  <c r="T260" i="2" a="1"/>
  <c r="T261" i="2" a="1"/>
  <c r="T323" i="2" a="1"/>
  <c r="T324" i="2" a="1"/>
  <c r="T325" i="2" a="1"/>
  <c r="T326" i="2" a="1"/>
  <c r="T327" i="2" a="1"/>
  <c r="T328" i="2" a="1"/>
  <c r="T329" i="2" a="1"/>
  <c r="T330" i="2" a="1"/>
  <c r="T331" i="2" a="1"/>
  <c r="T332" i="2" a="1"/>
  <c r="T119" i="2" a="1"/>
  <c r="T120" i="2" a="1"/>
  <c r="T121" i="2" a="1"/>
  <c r="T122" i="2" a="1"/>
  <c r="T123" i="2" a="1"/>
  <c r="T148" i="2" a="1"/>
  <c r="T149" i="2" a="1"/>
  <c r="T150" i="2" a="1"/>
  <c r="T151" i="2" a="1"/>
  <c r="T152" i="2" a="1"/>
  <c r="T153" i="2" a="1"/>
  <c r="T154" i="2" a="1"/>
  <c r="T155" i="2" a="1"/>
  <c r="T333" i="2" a="1"/>
  <c r="T334" i="2" a="1"/>
  <c r="T335" i="2" a="1"/>
  <c r="T336" i="2" a="1"/>
  <c r="T337" i="2" a="1"/>
  <c r="T338" i="2" a="1"/>
  <c r="T339" i="2" a="1"/>
  <c r="T340" i="2" a="1"/>
  <c r="T341" i="2" a="1"/>
  <c r="T342" i="2" a="1"/>
  <c r="T343" i="2" a="1"/>
  <c r="T344" i="2" a="1"/>
  <c r="T345" i="2" a="1"/>
  <c r="T346" i="2" a="1"/>
  <c r="T347" i="2" a="1"/>
  <c r="T348" i="2" a="1"/>
  <c r="T349" i="2" a="1"/>
  <c r="T350" i="2" a="1"/>
  <c r="T351" i="2" a="1"/>
  <c r="T352" i="2" a="1"/>
  <c r="T353" i="2" a="1"/>
  <c r="T354" i="2" a="1"/>
  <c r="T355" i="2" a="1"/>
  <c r="T356" i="2" a="1"/>
  <c r="T357" i="2" a="1"/>
  <c r="T358" i="2" a="1"/>
  <c r="T156" i="2" a="1"/>
  <c r="T157" i="2" a="1"/>
  <c r="T158" i="2" a="1"/>
  <c r="T159" i="2" a="1"/>
  <c r="T180" i="2" a="1"/>
  <c r="T181" i="2" a="1"/>
  <c r="T182" i="2" a="1"/>
  <c r="T183" i="2" a="1"/>
  <c r="T184" i="2" a="1"/>
  <c r="T185" i="2" a="1"/>
  <c r="T186" i="2" a="1"/>
  <c r="T15" i="2" a="1"/>
  <c r="T44" i="2" a="1"/>
  <c r="T85" i="2" a="1"/>
  <c r="T59" i="2" a="1"/>
  <c r="T103" i="2" a="1"/>
  <c r="T11" i="2" a="1"/>
  <c r="T12" i="2" a="1"/>
  <c r="T140" i="2" a="1"/>
  <c r="T160" i="2" a="1"/>
  <c r="T161" i="2" a="1"/>
  <c r="T21" i="2" a="1"/>
  <c r="T187" i="2" a="1"/>
  <c r="T188" i="2" a="1"/>
  <c r="T189" i="2" a="1"/>
  <c r="T190" i="2" a="1"/>
  <c r="T191" i="2" a="1"/>
  <c r="T192" i="2" a="1"/>
  <c r="T193" i="2" a="1"/>
  <c r="T194" i="2" a="1"/>
  <c r="T195" i="2" a="1"/>
  <c r="T196" i="2" a="1"/>
  <c r="T207" i="2" a="1"/>
  <c r="T22" i="2" a="1"/>
  <c r="T162" i="2" a="1"/>
  <c r="T197" i="2" a="1"/>
  <c r="T301" i="2" a="1"/>
  <c r="T86" i="2" a="1"/>
  <c r="T208" i="2" a="1"/>
  <c r="T209" i="2" a="1"/>
  <c r="T87" i="2" a="1"/>
  <c r="T302" i="2" a="1"/>
  <c r="T214" i="2" a="1"/>
  <c r="T303" i="2" a="1"/>
  <c r="T304" i="2" a="1"/>
  <c r="T305" i="2" a="1"/>
  <c r="T306" i="2" a="1"/>
  <c r="T163" i="2" a="1"/>
  <c r="T164" i="2" a="1"/>
  <c r="T45" i="2" a="1"/>
  <c r="T46" i="2" a="1"/>
  <c r="T47" i="2" a="1"/>
  <c r="T198" i="2" a="1"/>
  <c r="T88" i="2" a="1"/>
  <c r="T165" i="2" a="1"/>
  <c r="T307" i="2" a="1"/>
  <c r="T308" i="2" a="1"/>
  <c r="T14" i="2" a="1"/>
  <c r="T89" i="2" a="1"/>
  <c r="T166" i="2" a="1"/>
  <c r="T199" i="2" a="1"/>
  <c r="T309" i="2" a="1"/>
  <c r="T310" i="2" a="1"/>
  <c r="T311" i="2" a="1"/>
  <c r="T312" i="2" a="1"/>
  <c r="T313" i="2" a="1"/>
  <c r="T314" i="2" a="1"/>
  <c r="T315" i="2" a="1"/>
  <c r="T316" i="2" a="1"/>
  <c r="T90" i="2" a="1"/>
  <c r="T91" i="2" a="1"/>
  <c r="T92" i="2" a="1"/>
  <c r="T317" i="2" a="1"/>
  <c r="T318" i="2" a="1"/>
  <c r="T48" i="2" a="1"/>
  <c r="T49" i="2" a="1"/>
  <c r="T50" i="2" a="1"/>
  <c r="T51" i="2" a="1"/>
  <c r="T52" i="2" a="1"/>
  <c r="T53" i="2" a="1"/>
  <c r="T93" i="2" a="1"/>
  <c r="T94" i="2" a="1"/>
  <c r="T95" i="2" a="1"/>
  <c r="T124" i="2" a="1"/>
  <c r="T125" i="2" a="1"/>
  <c r="T126" i="2" a="1"/>
  <c r="T127" i="2" a="1"/>
  <c r="T128" i="2" a="1"/>
  <c r="T129" i="2" a="1"/>
  <c r="T167" i="2" a="1"/>
  <c r="T168" i="2" a="1"/>
  <c r="T169" i="2" a="1"/>
  <c r="T170" i="2" a="1"/>
  <c r="T171" i="2" a="1"/>
  <c r="T200" i="2" a="1"/>
  <c r="T210" i="2" a="1"/>
  <c r="T319" i="2" a="1"/>
  <c r="T320" i="2" a="1"/>
  <c r="T359" i="2" a="1"/>
  <c r="T360" i="2" a="1"/>
  <c r="T361" i="2" a="1"/>
  <c r="T362" i="2" a="1"/>
  <c r="T262" i="2" a="1"/>
  <c r="T263" i="2" a="1"/>
  <c r="T264" i="2" a="1"/>
  <c r="T265" i="2" a="1"/>
  <c r="T266" i="2" a="1"/>
  <c r="T211" i="2" a="1"/>
  <c r="T267" i="2" a="1"/>
  <c r="T268" i="2" a="1"/>
  <c r="T201" i="2" a="1"/>
  <c r="T202" i="2" a="1"/>
  <c r="T269" i="2" a="1"/>
  <c r="T270" i="2" a="1"/>
  <c r="T271" i="2" a="1"/>
  <c r="T272" i="2" a="1"/>
  <c r="T273" i="2" a="1"/>
  <c r="T274" i="2" a="1"/>
  <c r="T363" i="2" a="1"/>
  <c r="T364" i="2" a="1"/>
  <c r="T365" i="2" a="1"/>
  <c r="T366" i="2" a="1"/>
  <c r="T367" i="2" a="1"/>
  <c r="T368" i="2" a="1"/>
  <c r="T369" i="2" a="1"/>
  <c r="T275" i="2" a="1"/>
  <c r="T276" i="2" a="1"/>
  <c r="T277" i="2" a="1"/>
  <c r="T370" i="2" a="1"/>
  <c r="T371" i="2" a="1"/>
  <c r="T373" i="2" a="1"/>
  <c r="T375" i="2" a="1"/>
  <c r="T376" i="2" a="1"/>
  <c r="T377" i="2" a="1"/>
  <c r="T378" i="2" a="1"/>
  <c r="T389" i="2" a="1"/>
  <c r="T390" i="2" a="1"/>
  <c r="T391" i="2" a="1"/>
  <c r="T392" i="2" a="1"/>
  <c r="T393" i="2" a="1"/>
  <c r="T394" i="2" a="1"/>
  <c r="T395" i="2" a="1"/>
  <c r="T396" i="2" a="1"/>
  <c r="T397" i="2" a="1"/>
  <c r="T398" i="2" a="1"/>
  <c r="T399" i="2" a="1"/>
  <c r="T400" i="2" a="1"/>
  <c r="T172" i="2" a="1"/>
  <c r="T401" i="2" a="1"/>
  <c r="T402" i="2" a="1"/>
  <c r="T403" i="2" a="1"/>
  <c r="T23" i="2" a="1"/>
  <c r="T404" i="2" a="1"/>
  <c r="T405" i="2" a="1"/>
  <c r="T372" i="2" a="1"/>
  <c r="T406" i="2" a="1"/>
  <c r="T374" i="2" a="1"/>
  <c r="T407" i="2" a="1"/>
  <c r="T408" i="2" a="1"/>
  <c r="T409" i="2" a="1"/>
  <c r="T410" i="2" a="1"/>
  <c r="T5" i="2" a="1"/>
  <c r="T2" i="2" a="1"/>
  <c r="T54" i="2" a="1"/>
  <c r="T96" i="2" a="1"/>
  <c r="T130" i="2" a="1"/>
  <c r="T131" i="2" a="1"/>
  <c r="T132" i="2" a="1"/>
  <c r="T133" i="2" a="1"/>
  <c r="T173" i="2" a="1"/>
  <c r="T174" i="2" a="1"/>
  <c r="T175" i="2" a="1"/>
  <c r="T379" i="2" a="1"/>
  <c r="T380" i="2" a="1"/>
  <c r="T381" i="2" a="1"/>
  <c r="T382" i="2" a="1"/>
  <c r="T383" i="2" a="1"/>
  <c r="T384" i="2" a="1"/>
  <c r="T385" i="2" a="1"/>
  <c r="T386" i="2" a="1"/>
  <c r="T387" i="2" a="1"/>
  <c r="T388" i="2" a="1"/>
  <c r="T411" i="2" a="1"/>
  <c r="T412" i="2" a="1"/>
  <c r="T413" i="2" a="1"/>
  <c r="T414" i="2" a="1"/>
  <c r="T415" i="2" a="1"/>
  <c r="T416" i="2" a="1"/>
  <c r="T417" i="2" a="1"/>
  <c r="T418" i="2" a="1"/>
  <c r="T419" i="2" a="1"/>
  <c r="T420" i="2" a="1"/>
  <c r="T421" i="2" a="1"/>
  <c r="T422" i="2" a="1"/>
  <c r="T423" i="2" a="1"/>
  <c r="T424" i="2" a="1"/>
  <c r="T212" i="2" a="1"/>
  <c r="T425" i="2" a="1"/>
  <c r="T426" i="2" a="1"/>
  <c r="T427" i="2" a="1"/>
  <c r="T204" i="2" a="1"/>
  <c r="T428" i="2" a="1"/>
  <c r="T429" i="2" a="1"/>
  <c r="T430" i="2" a="1"/>
  <c r="T442" i="2" a="1"/>
  <c r="T445" i="2" a="1"/>
  <c r="T446" i="2" a="1"/>
  <c r="T447" i="2" a="1"/>
  <c r="T448" i="2" a="1"/>
  <c r="T449" i="2" a="1"/>
  <c r="T213" i="2" a="1"/>
  <c r="T450" i="2" a="1"/>
  <c r="T451" i="2" a="1"/>
  <c r="T452" i="2" a="1"/>
  <c r="T453" i="2" a="1"/>
  <c r="T456" i="2" a="1"/>
  <c r="T278" i="2" a="1"/>
  <c r="T279" i="2" a="1"/>
  <c r="T280" i="2" a="1"/>
  <c r="T281" i="2" a="1"/>
  <c r="T282" i="2" a="1"/>
  <c r="T283" i="2" a="1"/>
  <c r="T284" i="2" a="1"/>
  <c r="T285" i="2" a="1"/>
  <c r="T286" i="2" a="1"/>
  <c r="T4" i="2" a="1"/>
  <c r="T7" i="2" a="1"/>
  <c r="T55" i="2" a="1"/>
  <c r="T97" i="2" a="1"/>
  <c r="T134" i="2" a="1"/>
  <c r="T135" i="2" a="1"/>
  <c r="T136" i="2" a="1"/>
  <c r="T176" i="2" a="1"/>
  <c r="T3" i="2" a="1"/>
  <c r="T98" i="2" a="1"/>
  <c r="T287" i="2" a="1"/>
  <c r="T288" i="2" a="1"/>
  <c r="T289" i="2" a="1"/>
  <c r="T431" i="2" a="1"/>
  <c r="T432" i="2" a="1"/>
  <c r="T433" i="2" a="1"/>
  <c r="T434" i="2" a="1"/>
  <c r="T435" i="2" a="1"/>
  <c r="T436" i="2" a="1"/>
  <c r="T437" i="2" a="1"/>
  <c r="T438" i="2" a="1"/>
  <c r="T439" i="2" a="1"/>
  <c r="T440" i="2" a="1"/>
  <c r="T441" i="2" a="1"/>
  <c r="T24" i="2" a="1"/>
  <c r="T56" i="2" a="1"/>
  <c r="T177" i="2" a="1"/>
  <c r="T290" i="2" a="1"/>
  <c r="T443" i="2" a="1"/>
  <c r="T444" i="2" a="1"/>
  <c r="T291" i="2" a="1"/>
  <c r="T292" i="2" a="1"/>
  <c r="T293" i="2" a="1"/>
  <c r="T294" i="2" a="1"/>
  <c r="T295" i="2" a="1"/>
  <c r="T296" i="2" a="1"/>
  <c r="T297" i="2" a="1"/>
  <c r="T298" i="2" a="1"/>
  <c r="T299" i="2" a="1"/>
  <c r="T300" i="2" a="1"/>
  <c r="T454" i="2" a="1"/>
  <c r="T455" i="2" a="1"/>
  <c r="T321" i="2" a="1"/>
  <c r="T203" i="2" a="1"/>
  <c r="T215" i="2" a="1"/>
  <c r="T216" i="2" a="1"/>
  <c r="T322" i="2" a="1"/>
  <c r="T57" i="2" a="1"/>
  <c r="T58" i="2" a="1"/>
  <c r="T99" i="2" a="1"/>
  <c r="T100" i="2" a="1"/>
  <c r="T101" i="2" a="1"/>
  <c r="T102" i="2" a="1"/>
  <c r="T137" i="2" a="1"/>
  <c r="T138" i="2" a="1"/>
  <c r="T139" i="2" a="1"/>
  <c r="T205" i="2" a="1"/>
  <c r="T457" i="2" a="1"/>
  <c r="T13" i="2" a="1"/>
  <c r="T458" i="2" a="1"/>
  <c r="T459" i="2" a="1"/>
  <c r="T460" i="2" a="1"/>
  <c r="T461" i="2" a="1"/>
  <c r="T462" i="2" a="1"/>
  <c r="T463" i="2" a="1"/>
  <c r="T464" i="2" a="1"/>
  <c r="T465" i="2" a="1"/>
  <c r="T466" i="2" a="1"/>
  <c r="Q6" i="2" a="1"/>
  <c r="Q9" i="2" a="1"/>
  <c r="Q10" i="2" a="1"/>
  <c r="Q16" i="2" a="1"/>
  <c r="Q17" i="2" a="1"/>
  <c r="Q26" i="2" a="1"/>
  <c r="Q27" i="2" a="1"/>
  <c r="Q28" i="2" a="1"/>
  <c r="Q29" i="2" a="1"/>
  <c r="Q30" i="2" a="1"/>
  <c r="Q31" i="2" a="1"/>
  <c r="Q18" i="2" a="1"/>
  <c r="Q19" i="2" a="1"/>
  <c r="Q20" i="2" a="1"/>
  <c r="Q60" i="2" a="1"/>
  <c r="Q61" i="2" a="1"/>
  <c r="Q62" i="2" a="1"/>
  <c r="Q63" i="2" a="1"/>
  <c r="Q64" i="2" a="1"/>
  <c r="Q65" i="2" a="1"/>
  <c r="Q104" i="2" a="1"/>
  <c r="Q105" i="2" a="1"/>
  <c r="Q25" i="2" a="1"/>
  <c r="Q32" i="2" a="1"/>
  <c r="Q33" i="2" a="1"/>
  <c r="Q34" i="2" a="1"/>
  <c r="Q35" i="2" a="1"/>
  <c r="Q36" i="2" a="1"/>
  <c r="Q37" i="2" a="1"/>
  <c r="Q38" i="2" a="1"/>
  <c r="Q39" i="2" a="1"/>
  <c r="Q40" i="2" a="1"/>
  <c r="Q106" i="2" a="1"/>
  <c r="Q107" i="2" a="1"/>
  <c r="Q108" i="2" a="1"/>
  <c r="Q109" i="2" a="1"/>
  <c r="Q141" i="2" a="1"/>
  <c r="Q142" i="2" a="1"/>
  <c r="Q143" i="2" a="1"/>
  <c r="Q144" i="2" a="1"/>
  <c r="Q145" i="2" a="1"/>
  <c r="Q146" i="2" a="1"/>
  <c r="Q147" i="2" a="1"/>
  <c r="Q178" i="2" a="1"/>
  <c r="Q179" i="2" a="1"/>
  <c r="Q206" i="2" a="1"/>
  <c r="Q217" i="2" a="1"/>
  <c r="Q218" i="2" a="1"/>
  <c r="Q219" i="2" a="1"/>
  <c r="Q220" i="2" a="1"/>
  <c r="Q221" i="2" a="1"/>
  <c r="Q228" i="2" a="1"/>
  <c r="Q229" i="2" a="1"/>
  <c r="Q41" i="2" a="1"/>
  <c r="Q42" i="2" a="1"/>
  <c r="Q43" i="2" a="1"/>
  <c r="Q66" i="2" a="1"/>
  <c r="Q67" i="2" a="1"/>
  <c r="Q68" i="2" a="1"/>
  <c r="Q69" i="2" a="1"/>
  <c r="Q70" i="2" a="1"/>
  <c r="Q71" i="2" a="1"/>
  <c r="Q72" i="2" a="1"/>
  <c r="Q73" i="2" a="1"/>
  <c r="Q74" i="2" a="1"/>
  <c r="Q75" i="2" a="1"/>
  <c r="Q76" i="2" a="1"/>
  <c r="Q77" i="2" a="1"/>
  <c r="Q78" i="2" a="1"/>
  <c r="Q79" i="2" a="1"/>
  <c r="Q80" i="2" a="1"/>
  <c r="Q230" i="2" a="1"/>
  <c r="Q231" i="2" a="1"/>
  <c r="Q232" i="2" a="1"/>
  <c r="Q233" i="2" a="1"/>
  <c r="Q234" i="2" a="1"/>
  <c r="Q235" i="2" a="1"/>
  <c r="Q236" i="2" a="1"/>
  <c r="Q237" i="2" a="1"/>
  <c r="Q238" i="2" a="1"/>
  <c r="Q239" i="2" a="1"/>
  <c r="Q240" i="2" a="1"/>
  <c r="Q241" i="2" a="1"/>
  <c r="Q242" i="2" a="1"/>
  <c r="Q243" i="2" a="1"/>
  <c r="Q244" i="2" a="1"/>
  <c r="Q222" i="2" a="1"/>
  <c r="Q223" i="2" a="1"/>
  <c r="Q224" i="2" a="1"/>
  <c r="Q225" i="2" a="1"/>
  <c r="Q226" i="2" a="1"/>
  <c r="Q227" i="2" a="1"/>
  <c r="Q245" i="2" a="1"/>
  <c r="Q246" i="2" a="1"/>
  <c r="Q247" i="2" a="1"/>
  <c r="Q248" i="2" a="1"/>
  <c r="Q81" i="2" a="1"/>
  <c r="Q82" i="2" a="1"/>
  <c r="Q83" i="2" a="1"/>
  <c r="Q84" i="2" a="1"/>
  <c r="Q110" i="2" a="1"/>
  <c r="Q111" i="2" a="1"/>
  <c r="Q112" i="2" a="1"/>
  <c r="Q113" i="2" a="1"/>
  <c r="Q114" i="2" a="1"/>
  <c r="Q115" i="2" a="1"/>
  <c r="Q116" i="2" a="1"/>
  <c r="Q117" i="2" a="1"/>
  <c r="Q118" i="2" a="1"/>
  <c r="Q249" i="2" a="1"/>
  <c r="Q250" i="2" a="1"/>
  <c r="Q251" i="2" a="1"/>
  <c r="Q252" i="2" a="1"/>
  <c r="Q253" i="2" a="1"/>
  <c r="Q254" i="2" a="1"/>
  <c r="Q255" i="2" a="1"/>
  <c r="Q256" i="2" a="1"/>
  <c r="Q257" i="2" a="1"/>
  <c r="Q258" i="2" a="1"/>
  <c r="Q259" i="2" a="1"/>
  <c r="Q260" i="2" a="1"/>
  <c r="Q261" i="2" a="1"/>
  <c r="Q323" i="2" a="1"/>
  <c r="Q324" i="2" a="1"/>
  <c r="Q325" i="2" a="1"/>
  <c r="Q326" i="2" a="1"/>
  <c r="Q327" i="2" a="1"/>
  <c r="Q328" i="2" a="1"/>
  <c r="Q329" i="2" a="1"/>
  <c r="Q330" i="2" a="1"/>
  <c r="Q331" i="2" a="1"/>
  <c r="Q332" i="2" a="1"/>
  <c r="Q119" i="2" a="1"/>
  <c r="Q120" i="2" a="1"/>
  <c r="Q121" i="2" a="1"/>
  <c r="Q122" i="2" a="1"/>
  <c r="Q123" i="2" a="1"/>
  <c r="Q148" i="2" a="1"/>
  <c r="Q149" i="2" a="1"/>
  <c r="Q150" i="2" a="1"/>
  <c r="Q151" i="2" a="1"/>
  <c r="Q152" i="2" a="1"/>
  <c r="Q153" i="2" a="1"/>
  <c r="Q154" i="2" a="1"/>
  <c r="Q155" i="2" a="1"/>
  <c r="Q333" i="2" a="1"/>
  <c r="Q334" i="2" a="1"/>
  <c r="Q335" i="2" a="1"/>
  <c r="Q336" i="2" a="1"/>
  <c r="Q337" i="2" a="1"/>
  <c r="Q338" i="2" a="1"/>
  <c r="Q339" i="2" a="1"/>
  <c r="Q340" i="2" a="1"/>
  <c r="Q341" i="2" a="1"/>
  <c r="Q342" i="2" a="1"/>
  <c r="Q343" i="2" a="1"/>
  <c r="Q344" i="2" a="1"/>
  <c r="Q345" i="2" a="1"/>
  <c r="Q346" i="2" a="1"/>
  <c r="Q347" i="2" a="1"/>
  <c r="Q348" i="2" a="1"/>
  <c r="Q349" i="2" a="1"/>
  <c r="Q350" i="2" a="1"/>
  <c r="Q351" i="2" a="1"/>
  <c r="Q352" i="2" a="1"/>
  <c r="Q353" i="2" a="1"/>
  <c r="Q354" i="2" a="1"/>
  <c r="Q355" i="2" a="1"/>
  <c r="Q356" i="2" a="1"/>
  <c r="Q357" i="2" a="1"/>
  <c r="Q358" i="2" a="1"/>
  <c r="Q156" i="2" a="1"/>
  <c r="Q157" i="2" a="1"/>
  <c r="Q158" i="2" a="1"/>
  <c r="Q159" i="2" a="1"/>
  <c r="Q180" i="2" a="1"/>
  <c r="Q181" i="2" a="1"/>
  <c r="Q182" i="2" a="1"/>
  <c r="Q183" i="2" a="1"/>
  <c r="Q184" i="2" a="1"/>
  <c r="Q185" i="2" a="1"/>
  <c r="Q186" i="2" a="1"/>
  <c r="Q15" i="2" a="1"/>
  <c r="Q44" i="2" a="1"/>
  <c r="Q85" i="2" a="1"/>
  <c r="Q59" i="2" a="1"/>
  <c r="Q103" i="2" a="1"/>
  <c r="Q11" i="2" a="1"/>
  <c r="Q12" i="2" a="1"/>
  <c r="Q140" i="2" a="1"/>
  <c r="Q160" i="2" a="1"/>
  <c r="Q161" i="2" a="1"/>
  <c r="Q21" i="2" a="1"/>
  <c r="Q187" i="2" a="1"/>
  <c r="Q188" i="2" a="1"/>
  <c r="Q189" i="2" a="1"/>
  <c r="Q190" i="2" a="1"/>
  <c r="Q191" i="2" a="1"/>
  <c r="Q192" i="2" a="1"/>
  <c r="Q193" i="2" a="1"/>
  <c r="Q194" i="2" a="1"/>
  <c r="Q195" i="2" a="1"/>
  <c r="Q196" i="2" a="1"/>
  <c r="Q207" i="2" a="1"/>
  <c r="Q22" i="2" a="1"/>
  <c r="Q162" i="2" a="1"/>
  <c r="Q197" i="2" a="1"/>
  <c r="Q301" i="2" a="1"/>
  <c r="Q86" i="2" a="1"/>
  <c r="Q208" i="2" a="1"/>
  <c r="Q209" i="2" a="1"/>
  <c r="Q87" i="2" a="1"/>
  <c r="Q302" i="2" a="1"/>
  <c r="Q214" i="2" a="1"/>
  <c r="Q303" i="2" a="1"/>
  <c r="Q304" i="2" a="1"/>
  <c r="Q305" i="2" a="1"/>
  <c r="Q306" i="2" a="1"/>
  <c r="Q163" i="2" a="1"/>
  <c r="Q164" i="2" a="1"/>
  <c r="Q45" i="2" a="1"/>
  <c r="Q46" i="2" a="1"/>
  <c r="Q47" i="2" a="1"/>
  <c r="Q198" i="2" a="1"/>
  <c r="Q88" i="2" a="1"/>
  <c r="Q165" i="2" a="1"/>
  <c r="Q307" i="2" a="1"/>
  <c r="Q308" i="2" a="1"/>
  <c r="Q14" i="2" a="1"/>
  <c r="Q89" i="2" a="1"/>
  <c r="Q166" i="2" a="1"/>
  <c r="Q199" i="2" a="1"/>
  <c r="Q309" i="2" a="1"/>
  <c r="Q310" i="2" a="1"/>
  <c r="Q311" i="2" a="1"/>
  <c r="Q312" i="2" a="1"/>
  <c r="Q313" i="2" a="1"/>
  <c r="Q314" i="2" a="1"/>
  <c r="Q315" i="2" a="1"/>
  <c r="Q316" i="2" a="1"/>
  <c r="Q90" i="2" a="1"/>
  <c r="Q91" i="2" a="1"/>
  <c r="Q92" i="2" a="1"/>
  <c r="Q317" i="2" a="1"/>
  <c r="Q318" i="2" a="1"/>
  <c r="Q48" i="2" a="1"/>
  <c r="Q49" i="2" a="1"/>
  <c r="Q50" i="2" a="1"/>
  <c r="Q51" i="2" a="1"/>
  <c r="Q52" i="2" a="1"/>
  <c r="Q53" i="2" a="1"/>
  <c r="Q93" i="2" a="1"/>
  <c r="Q94" i="2" a="1"/>
  <c r="Q95" i="2" a="1"/>
  <c r="Q124" i="2" a="1"/>
  <c r="Q125" i="2" a="1"/>
  <c r="Q126" i="2" a="1"/>
  <c r="Q127" i="2" a="1"/>
  <c r="Q128" i="2" a="1"/>
  <c r="Q129" i="2" a="1"/>
  <c r="Q167" i="2" a="1"/>
  <c r="Q168" i="2" a="1"/>
  <c r="Q169" i="2" a="1"/>
  <c r="Q170" i="2" a="1"/>
  <c r="Q171" i="2" a="1"/>
  <c r="Q200" i="2" a="1"/>
  <c r="Q210" i="2" a="1"/>
  <c r="Q319" i="2" a="1"/>
  <c r="Q320" i="2" a="1"/>
  <c r="Q359" i="2" a="1"/>
  <c r="Q360" i="2" a="1"/>
  <c r="Q361" i="2" a="1"/>
  <c r="Q362" i="2" a="1"/>
  <c r="Q262" i="2" a="1"/>
  <c r="Q263" i="2" a="1"/>
  <c r="Q264" i="2" a="1"/>
  <c r="Q265" i="2" a="1"/>
  <c r="Q266" i="2" a="1"/>
  <c r="Q211" i="2" a="1"/>
  <c r="Q267" i="2" a="1"/>
  <c r="Q268" i="2" a="1"/>
  <c r="Q201" i="2" a="1"/>
  <c r="Q202" i="2" a="1"/>
  <c r="Q269" i="2" a="1"/>
  <c r="Q270" i="2" a="1"/>
  <c r="Q271" i="2" a="1"/>
  <c r="Q272" i="2" a="1"/>
  <c r="Q273" i="2" a="1"/>
  <c r="Q274" i="2" a="1"/>
  <c r="Q363" i="2" a="1"/>
  <c r="Q364" i="2" a="1"/>
  <c r="Q365" i="2" a="1"/>
  <c r="Q366" i="2" a="1"/>
  <c r="Q367" i="2" a="1"/>
  <c r="Q368" i="2" a="1"/>
  <c r="Q369" i="2" a="1"/>
  <c r="Q275" i="2" a="1"/>
  <c r="Q276" i="2" a="1"/>
  <c r="Q277" i="2" a="1"/>
  <c r="Q370" i="2" a="1"/>
  <c r="Q371" i="2" a="1"/>
  <c r="Q373" i="2" a="1"/>
  <c r="Q375" i="2" a="1"/>
  <c r="Q376" i="2" a="1"/>
  <c r="Q377" i="2" a="1"/>
  <c r="Q378" i="2" a="1"/>
  <c r="Q389" i="2" a="1"/>
  <c r="Q390" i="2" a="1"/>
  <c r="Q391" i="2" a="1"/>
  <c r="Q392" i="2" a="1"/>
  <c r="Q393" i="2" a="1"/>
  <c r="Q394" i="2" a="1"/>
  <c r="Q395" i="2" a="1"/>
  <c r="Q396" i="2" a="1"/>
  <c r="Q397" i="2" a="1"/>
  <c r="Q398" i="2" a="1"/>
  <c r="Q399" i="2" a="1"/>
  <c r="Q400" i="2" a="1"/>
  <c r="Q172" i="2" a="1"/>
  <c r="Q401" i="2" a="1"/>
  <c r="Q402" i="2" a="1"/>
  <c r="Q403" i="2" a="1"/>
  <c r="Q23" i="2" a="1"/>
  <c r="Q404" i="2" a="1"/>
  <c r="Q405" i="2" a="1"/>
  <c r="Q372" i="2" a="1"/>
  <c r="Q406" i="2" a="1"/>
  <c r="Q374" i="2" a="1"/>
  <c r="Q407" i="2" a="1"/>
  <c r="Q408" i="2" a="1"/>
  <c r="Q409" i="2" a="1"/>
  <c r="Q410" i="2" a="1"/>
  <c r="Q5" i="2" a="1"/>
  <c r="Q2" i="2" a="1"/>
  <c r="Q54" i="2" a="1"/>
  <c r="Q96" i="2" a="1"/>
  <c r="Q130" i="2" a="1"/>
  <c r="Q131" i="2" a="1"/>
  <c r="Q132" i="2" a="1"/>
  <c r="Q133" i="2" a="1"/>
  <c r="Q173" i="2" a="1"/>
  <c r="Q174" i="2" a="1"/>
  <c r="Q175" i="2" a="1"/>
  <c r="Q379" i="2" a="1"/>
  <c r="Q380" i="2" a="1"/>
  <c r="Q381" i="2" a="1"/>
  <c r="Q382" i="2" a="1"/>
  <c r="Q383" i="2" a="1"/>
  <c r="Q384" i="2" a="1"/>
  <c r="Q385" i="2" a="1"/>
  <c r="Q386" i="2" a="1"/>
  <c r="Q387" i="2" a="1"/>
  <c r="Q388" i="2" a="1"/>
  <c r="Q411" i="2" a="1"/>
  <c r="Q412" i="2" a="1"/>
  <c r="Q413" i="2" a="1"/>
  <c r="Q414" i="2" a="1"/>
  <c r="Q415" i="2" a="1"/>
  <c r="Q416" i="2" a="1"/>
  <c r="Q417" i="2" a="1"/>
  <c r="Q418" i="2" a="1"/>
  <c r="Q419" i="2" a="1"/>
  <c r="Q420" i="2" a="1"/>
  <c r="Q421" i="2" a="1"/>
  <c r="Q422" i="2" a="1"/>
  <c r="Q423" i="2" a="1"/>
  <c r="Q424" i="2" a="1"/>
  <c r="Q212" i="2" a="1"/>
  <c r="Q425" i="2" a="1"/>
  <c r="Q426" i="2" a="1"/>
  <c r="Q427" i="2" a="1"/>
  <c r="Q204" i="2" a="1"/>
  <c r="Q428" i="2" a="1"/>
  <c r="Q429" i="2" a="1"/>
  <c r="Q430" i="2" a="1"/>
  <c r="Q442" i="2" a="1"/>
  <c r="Q445" i="2" a="1"/>
  <c r="Q446" i="2" a="1"/>
  <c r="Q447" i="2" a="1"/>
  <c r="Q448" i="2" a="1"/>
  <c r="Q449" i="2" a="1"/>
  <c r="Q213" i="2" a="1"/>
  <c r="Q450" i="2" a="1"/>
  <c r="Q451" i="2" a="1"/>
  <c r="Q452" i="2" a="1"/>
  <c r="Q453" i="2" a="1"/>
  <c r="Q456" i="2" a="1"/>
  <c r="Q278" i="2" a="1"/>
  <c r="Q279" i="2" a="1"/>
  <c r="Q280" i="2" a="1"/>
  <c r="Q281" i="2" a="1"/>
  <c r="Q282" i="2" a="1"/>
  <c r="Q283" i="2" a="1"/>
  <c r="Q284" i="2" a="1"/>
  <c r="Q285" i="2" a="1"/>
  <c r="Q286" i="2" a="1"/>
  <c r="Q4" i="2" a="1"/>
  <c r="Q7" i="2" a="1"/>
  <c r="Q55" i="2" a="1"/>
  <c r="Q97" i="2" a="1"/>
  <c r="Q134" i="2" a="1"/>
  <c r="Q135" i="2" a="1"/>
  <c r="Q136" i="2" a="1"/>
  <c r="Q176" i="2" a="1"/>
  <c r="Q3" i="2" a="1"/>
  <c r="Q98" i="2" a="1"/>
  <c r="Q287" i="2" a="1"/>
  <c r="Q288" i="2" a="1"/>
  <c r="Q289" i="2" a="1"/>
  <c r="Q431" i="2" a="1"/>
  <c r="Q432" i="2" a="1"/>
  <c r="Q433" i="2" a="1"/>
  <c r="Q434" i="2" a="1"/>
  <c r="Q435" i="2" a="1"/>
  <c r="Q436" i="2" a="1"/>
  <c r="Q437" i="2" a="1"/>
  <c r="Q438" i="2" a="1"/>
  <c r="Q439" i="2" a="1"/>
  <c r="Q440" i="2" a="1"/>
  <c r="Q441" i="2" a="1"/>
  <c r="Q24" i="2" a="1"/>
  <c r="Q56" i="2" a="1"/>
  <c r="Q177" i="2" a="1"/>
  <c r="Q290" i="2" a="1"/>
  <c r="Q443" i="2" a="1"/>
  <c r="Q444" i="2" a="1"/>
  <c r="Q291" i="2" a="1"/>
  <c r="Q292" i="2" a="1"/>
  <c r="Q293" i="2" a="1"/>
  <c r="Q294" i="2" a="1"/>
  <c r="Q295" i="2" a="1"/>
  <c r="Q296" i="2" a="1"/>
  <c r="Q297" i="2" a="1"/>
  <c r="Q298" i="2" a="1"/>
  <c r="Q299" i="2" a="1"/>
  <c r="Q300" i="2" a="1"/>
  <c r="Q454" i="2" a="1"/>
  <c r="Q455" i="2" a="1"/>
  <c r="Q321" i="2" a="1"/>
  <c r="Q203" i="2" a="1"/>
  <c r="Q215" i="2" a="1"/>
  <c r="Q216" i="2" a="1"/>
  <c r="Q322" i="2" a="1"/>
  <c r="Q57" i="2" a="1"/>
  <c r="Q58" i="2" a="1"/>
  <c r="Q99" i="2" a="1"/>
  <c r="Q100" i="2" a="1"/>
  <c r="Q101" i="2" a="1"/>
  <c r="Q102" i="2" a="1"/>
  <c r="Q137" i="2" a="1"/>
  <c r="Q138" i="2" a="1"/>
  <c r="Q139" i="2" a="1"/>
  <c r="Q205" i="2" a="1"/>
  <c r="Q457" i="2" a="1"/>
  <c r="Q13" i="2" a="1"/>
  <c r="Q458" i="2" a="1"/>
  <c r="Q459" i="2" a="1"/>
  <c r="Q460" i="2" a="1"/>
  <c r="Q461" i="2" a="1"/>
  <c r="Q462" i="2" a="1"/>
  <c r="Q463" i="2" a="1"/>
  <c r="Q464" i="2" a="1"/>
  <c r="Q465" i="2" a="1"/>
  <c r="Q466" i="2" a="1"/>
  <c r="V8" i="2"/>
  <c r="T8" i="2" a="1"/>
  <c r="Q8" i="2" a="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A8"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<sst xmlns="http://schemas.openxmlformats.org/spreadsheetml/2006/main" count="6984" uniqueCount="2870">
  <si>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</si>
  <si>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</si>
  <si>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</si>
  <si>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</si>
  <si>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</si>
  <si>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</si>
  <si>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</si>
  <si>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</si>
  <si>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</si>
  <si>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</si>
  <si>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</si>
  <si>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</si>
  <si>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</si>
  <si>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</si>
  <si>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</si>
  <si>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</si>
  <si>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</si>
  <si>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</si>
  <si>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</si>
  <si>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</si>
  <si>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</si>
  <si>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</si>
  <si>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</si>
  <si>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</si>
  <si>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</si>
  <si>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</si>
  <si>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</si>
  <si>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</si>
  <si>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</si>
  <si>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</si>
  <si>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</si>
  <si>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</si>
  <si>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</si>
  <si>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</si>
  <si>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</si>
  <si>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</si>
  <si>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</si>
  <si>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</si>
  <si>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</si>
  <si>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</si>
  <si>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</si>
  <si>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</si>
  <si>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</si>
  <si>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</si>
  <si>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</si>
  <si>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</si>
  <si>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</si>
  <si>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</si>
  <si>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</si>
  <si>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</si>
  <si>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</si>
  <si>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</si>
  <si>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</si>
  <si>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https://bdsmvilla.com/video/62480/wild-anal-seductress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</si>
  <si>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</si>
  <si>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</si>
  <si>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</si>
  <si>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</si>
  <si>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</si>
  <si>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</si>
  <si>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</si>
  <si>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</si>
  <si>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</si>
  <si>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</si>
  <si>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</si>
  <si>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</si>
  <si>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</si>
  <si>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</si>
  <si>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</si>
  <si>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bdsm-soft-maledom</t>
  </si>
  <si>
    <t>bdsm-hard-maledom</t>
  </si>
  <si>
    <t>bdsm-hard-lesdom</t>
  </si>
  <si>
    <t>ass up face down</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</si>
  <si>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</si>
  <si>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</si>
  <si>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</si>
  <si>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</si>
  <si>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</si>
  <si>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</si>
  <si>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</si>
  <si>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</si>
  <si>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</si>
  <si>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</si>
  <si>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</si>
  <si>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</si>
  <si>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</si>
  <si>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</si>
  <si>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</si>
  <si>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</si>
  <si>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</si>
  <si>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</si>
  <si>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</si>
  <si>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</si>
  <si>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</si>
  <si>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</si>
  <si>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</si>
  <si>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</si>
  <si>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</si>
  <si>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</si>
  <si>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</si>
  <si>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</si>
  <si>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</si>
  <si>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</si>
  <si>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</si>
  <si>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</si>
  <si>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</si>
  <si>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</si>
  <si>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</si>
  <si>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</si>
  <si>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</si>
  <si>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</si>
  <si>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</si>
  <si>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</si>
  <si>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</si>
  <si>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</si>
  <si>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</si>
  <si>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</si>
  <si>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</si>
  <si>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</si>
  <si>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</si>
  <si>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</si>
  <si>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</si>
  <si>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</si>
  <si>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</si>
  <si>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</si>
  <si>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</si>
  <si>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</si>
  <si>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</si>
  <si>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</si>
  <si>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</si>
  <si>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</si>
  <si>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</si>
  <si>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</si>
  <si>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</si>
  <si>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</si>
  <si>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</si>
  <si>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https://pornxp.com/videos/106369411584</t>
  </si>
  <si>
    <t>https://spankbang.com/5p9k8/video/rope+walk</t>
  </si>
  <si>
    <t>https://heavyfetish.com/videos/59166/zipped/</t>
  </si>
  <si>
    <t>dildo in mouth locked at 25</t>
  </si>
  <si>
    <t>donna dolore</t>
  </si>
  <si>
    <t>emily willis</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</si>
  <si>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</si>
  <si>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</si>
  <si>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</si>
  <si>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</si>
  <si>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</si>
  <si>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</si>
  <si>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</si>
  <si>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</si>
  <si>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</si>
  <si>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</si>
  <si>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</si>
  <si>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</si>
  <si>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</si>
  <si>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</si>
  <si>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bdsm</t>
  </si>
  <si>
    <t>soft</t>
  </si>
  <si>
    <t>hard</t>
  </si>
  <si>
    <t>maledom</t>
  </si>
  <si>
    <t>femdom</t>
  </si>
  <si>
    <t>lesdom</t>
  </si>
  <si>
    <t>normal</t>
  </si>
  <si>
    <t>rough</t>
  </si>
  <si>
    <t>sensual</t>
  </si>
  <si>
    <t>cis</t>
  </si>
  <si>
    <t>normal-sensual-lesbian</t>
  </si>
  <si>
    <t>melody marks</t>
  </si>
  <si>
    <t>elle d</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</si>
  <si>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</si>
  <si>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</si>
  <si>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</si>
  <si>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</si>
  <si>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</si>
  <si>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</si>
  <si>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</si>
  <si>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</si>
  <si>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</si>
  <si>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</si>
  <si>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</si>
  <si>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</si>
  <si>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</si>
  <si>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</si>
  <si>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</si>
  <si>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</si>
  <si>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</si>
  <si>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</si>
  <si>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</si>
  <si>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</si>
  <si>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</si>
  <si>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</si>
  <si>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</si>
  <si>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</si>
  <si>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</si>
  <si>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sticks up the nose at 2m,hair in mouth at 5m,spreader bar on legs at  31m</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</si>
  <si>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</si>
  <si>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</si>
  <si>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</si>
  <si>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</si>
  <si>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</si>
  <si>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</si>
  <si>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</si>
  <si>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</si>
  <si>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</si>
  <si>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</si>
  <si>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</si>
  <si>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</si>
  <si>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</si>
  <si>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</si>
  <si>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</si>
  <si>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</si>
  <si>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</si>
  <si>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</si>
  <si>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</si>
  <si>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</si>
  <si>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</si>
  <si>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</si>
  <si>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</si>
  <si>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</si>
  <si>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</si>
  <si>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</si>
  <si>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</si>
  <si>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</si>
  <si>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</si>
  <si>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</si>
  <si>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</si>
  <si>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</si>
  <si>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</si>
  <si>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</si>
  <si>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</si>
  <si>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</si>
  <si>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</si>
  <si>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</si>
  <si>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</si>
  <si>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</si>
  <si>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</si>
  <si>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</si>
  <si>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</si>
  <si>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</si>
  <si>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</si>
  <si>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</si>
  <si>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</si>
  <si>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</si>
  <si>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</si>
  <si>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</si>
  <si>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</si>
  <si>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</si>
  <si>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</si>
  <si>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</si>
  <si>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</si>
  <si>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</si>
  <si>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</si>
  <si>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</si>
  <si>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</si>
  <si>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</si>
  <si>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</si>
  <si>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</si>
  <si>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</si>
  <si>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</si>
  <si>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</si>
  <si>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</si>
  <si>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</si>
  <si>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</si>
  <si>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</si>
  <si>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</si>
  <si>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</si>
  <si>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</si>
  <si>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</si>
  <si>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</si>
  <si>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</si>
  <si>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</si>
  <si>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</si>
  <si>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</si>
  <si>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</si>
  <si>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</si>
  <si>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</si>
  <si>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</si>
  <si>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</si>
  <si>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</si>
  <si>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</si>
  <si>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</si>
  <si>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</si>
  <si>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</si>
  <si>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</si>
  <si>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</si>
  <si>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</si>
  <si>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</si>
  <si>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</si>
  <si>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</si>
  <si>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</si>
  <si>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</si>
  <si>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</si>
  <si>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</si>
  <si>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</si>
  <si>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</si>
  <si>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</si>
  <si>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</si>
  <si>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</si>
  <si>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</si>
  <si>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</si>
  <si>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</si>
  <si>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</si>
  <si>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</si>
  <si>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</si>
  <si>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</si>
  <si>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</si>
  <si>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</si>
  <si>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</si>
  <si>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</si>
  <si>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</si>
  <si>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</si>
  <si>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</si>
  <si>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</si>
  <si>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</si>
  <si>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</si>
  <si>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</si>
  <si>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</si>
  <si>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</si>
  <si>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</si>
  <si>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</si>
  <si>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</si>
  <si>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</si>
  <si>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</si>
  <si>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</si>
  <si>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</si>
  <si>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</si>
  <si>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</si>
  <si>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</si>
  <si>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</si>
  <si>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</si>
  <si>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</si>
  <si>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</si>
  <si>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</si>
  <si>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</si>
  <si>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</si>
  <si>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</si>
  <si>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</si>
  <si>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</si>
  <si>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</si>
  <si>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</si>
  <si>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</si>
  <si>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</si>
  <si>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</si>
  <si>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</si>
  <si>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</si>
  <si>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</si>
  <si>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</si>
  <si>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</si>
  <si>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</si>
  <si>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</si>
  <si>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</si>
  <si>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</si>
  <si>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</si>
  <si>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</si>
  <si>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</si>
  <si>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</si>
  <si>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</si>
  <si>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</si>
  <si>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</si>
  <si>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</si>
  <si>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</si>
  <si>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</si>
  <si>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</si>
  <si>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</si>
  <si>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</si>
  <si>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</si>
  <si>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</si>
  <si>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</si>
  <si>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</si>
  <si>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</si>
  <si>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</si>
  <si>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</si>
  <si>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</si>
  <si>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</si>
  <si>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</si>
  <si>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</si>
  <si>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</si>
  <si>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</si>
  <si>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</si>
  <si>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</si>
  <si>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</si>
  <si>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</si>
  <si>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</si>
  <si>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</si>
  <si>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</si>
  <si>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</si>
  <si>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</si>
  <si>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</si>
  <si>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</si>
  <si>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</si>
  <si>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</si>
  <si>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</si>
  <si>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</si>
  <si>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</si>
  <si>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</si>
  <si>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</si>
  <si>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</si>
  <si>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</si>
  <si>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</si>
  <si>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</si>
  <si>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</si>
  <si>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</si>
  <si>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</si>
  <si>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</si>
  <si>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</si>
  <si>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</si>
  <si>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</si>
  <si>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</si>
  <si>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</si>
  <si>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</si>
  <si>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</si>
  <si>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</si>
  <si>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</si>
  <si>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</si>
  <si>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</si>
  <si>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</si>
  <si>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</si>
  <si>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</si>
  <si>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</si>
  <si>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</si>
  <si>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</si>
  <si>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</si>
  <si>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</si>
  <si>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</si>
  <si>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</si>
  <si>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</si>
  <si>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</si>
  <si>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</si>
  <si>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</si>
  <si>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</si>
  <si>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</si>
  <si>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</si>
  <si>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</si>
  <si>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</si>
  <si>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</si>
  <si>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</si>
  <si>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</si>
  <si>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</si>
  <si>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</si>
  <si>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</si>
  <si>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</si>
  <si>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</si>
  <si>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</si>
  <si>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</si>
  <si>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innocent high</t>
  </si>
  <si>
    <t>femdom empire</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</si>
  <si>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</si>
  <si>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</si>
  <si>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</si>
  <si>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</si>
  <si>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</si>
  <si>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</si>
  <si>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</si>
  <si>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</si>
  <si>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</si>
  <si>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</si>
  <si>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</si>
  <si>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</si>
  <si>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</si>
  <si>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</si>
  <si>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</si>
  <si>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</si>
  <si>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</si>
  <si>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</si>
  <si>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</si>
  <si>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</si>
  <si>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</si>
  <si>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</si>
  <si>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</si>
  <si>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</si>
  <si>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</si>
  <si>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</si>
  <si>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</si>
  <si>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</si>
  <si>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</si>
  <si>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</si>
  <si>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</si>
  <si>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</si>
  <si>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</si>
  <si>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</si>
  <si>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</si>
  <si>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</si>
  <si>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</si>
  <si>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</si>
  <si>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</si>
  <si>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</si>
  <si>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flog,flame,switchdom,wax,body clothespin,nipple clamps</t>
  </si>
  <si>
    <t>flog,nipple clamps,blindfold,dildo stick,anal,wax</t>
  </si>
  <si>
    <t>flog,nipple clamps,electric,paddle</t>
  </si>
  <si>
    <t>flog,rubber band feet,piv,vibrator</t>
  </si>
  <si>
    <t>flog,tape gag,wax,nipple clamps,ball gag</t>
  </si>
  <si>
    <t>flog,vibrator,peg,spank,face riding,leash</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</si>
  <si>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</si>
  <si>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</si>
  <si>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</si>
  <si>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</si>
  <si>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</si>
  <si>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</si>
  <si>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</si>
  <si>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</si>
  <si>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</si>
  <si>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</si>
  <si>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</si>
  <si>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</si>
  <si>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</si>
  <si>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</si>
  <si>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</si>
  <si>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</si>
  <si>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</si>
  <si>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</si>
  <si>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</si>
  <si>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</si>
  <si>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</si>
  <si>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</si>
  <si>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</si>
  <si>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</si>
  <si>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</si>
  <si>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</si>
  <si>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</si>
  <si>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</si>
  <si>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</si>
  <si>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</si>
  <si>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</si>
  <si>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</si>
  <si>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</si>
  <si>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</si>
  <si>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</si>
  <si>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</si>
  <si>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</si>
  <si>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</si>
  <si>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</si>
  <si>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</si>
  <si>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</si>
  <si>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</si>
  <si>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</si>
  <si>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gag,gangbang,pretzel,fist</t>
  </si>
  <si>
    <t>ball gag,vibrator,lesdom,oiled,fist,nipple clamps</t>
  </si>
  <si>
    <t>chastity,spank,cane,flog,peg,anal fist,blowjob,cow girl</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</si>
  <si>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</si>
  <si>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</si>
  <si>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</si>
  <si>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bbc,blowjob,pussy eat,piv</t>
  </si>
  <si>
    <t>blowjob,pussy eat,piv</t>
  </si>
  <si>
    <t>cane,nipple clamps,ball gag,blowjob,pussy eat</t>
  </si>
  <si>
    <t>flog,feet on dick,peg,wax,heels worship,pussy eat</t>
  </si>
  <si>
    <t>kidnapping,pussy eat,tape gag,blowjob,vibrator</t>
  </si>
  <si>
    <t>leather,mummy,cock ring,oiled,handjob,cum eat</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</si>
  <si>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</si>
  <si>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</si>
  <si>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</si>
  <si>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</si>
  <si>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</si>
  <si>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</si>
  <si>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</si>
  <si>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</si>
  <si>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</si>
  <si>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</si>
  <si>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</si>
  <si>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</si>
  <si>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</si>
  <si>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</si>
  <si>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</si>
  <si>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</si>
  <si>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</si>
  <si>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</si>
  <si>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gangbang,bukkake,strip,bbc</t>
  </si>
  <si>
    <t>sensual strip to hardcore bdsm,tied together at 60m</t>
  </si>
  <si>
    <t>strip at 18m</t>
  </si>
  <si>
    <t>basic strip and blowjobs</t>
  </si>
  <si>
    <t>sensual strip at 1m, 69 at 11m</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</si>
  <si>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</si>
  <si>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</si>
  <si>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</si>
  <si>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</si>
  <si>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</si>
  <si>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</si>
  <si>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</si>
  <si>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</si>
  <si>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</si>
  <si>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blowjob,piv,fondle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</si>
  <si>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</si>
  <si>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</si>
  <si>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</si>
  <si>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</si>
  <si>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</si>
  <si>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</si>
  <si>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</si>
  <si>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</si>
  <si>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</si>
  <si>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</si>
  <si>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</si>
  <si>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</si>
  <si>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</si>
  <si>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</si>
  <si>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</si>
  <si>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</si>
  <si>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</si>
  <si>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</si>
  <si>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</si>
  <si>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</si>
  <si>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</si>
  <si>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</si>
  <si>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</si>
  <si>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</si>
  <si>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</si>
  <si>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</si>
  <si>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</si>
  <si>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</si>
  <si>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</si>
  <si>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</si>
  <si>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</si>
  <si>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</si>
  <si>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</si>
  <si>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</si>
  <si>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</si>
  <si>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</si>
  <si>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</si>
  <si>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</si>
  <si>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</si>
  <si>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</si>
  <si>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</si>
  <si>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</si>
  <si>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</si>
  <si>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</si>
  <si>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</si>
  <si>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</si>
  <si>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</si>
  <si>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</si>
  <si>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</si>
  <si>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</si>
  <si>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</si>
  <si>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</si>
  <si>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</si>
  <si>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</si>
  <si>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</si>
  <si>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</si>
  <si>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</si>
  <si>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</si>
  <si>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</si>
  <si>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</si>
  <si>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</si>
  <si>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</si>
  <si>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</si>
  <si>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</si>
  <si>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</si>
  <si>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</si>
  <si>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</si>
  <si>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</si>
  <si>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</si>
  <si>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</si>
  <si>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</si>
  <si>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</si>
  <si>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</si>
  <si>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</si>
  <si>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</si>
  <si>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</si>
  <si>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</si>
  <si>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</si>
  <si>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stand, lay down</t>
  </si>
  <si>
    <t>body lick,bikini,foot worship,call girls,non nude,multiple girls</t>
  </si>
  <si>
    <t>gangbang,blackout contacts,body clothespin,flog,nipple clamps,drink game</t>
  </si>
  <si>
    <t>gangbang,piss drink,double penetration,fingering,anal,blowjob</t>
  </si>
  <si>
    <t>lay down,kneel,missionary,doggy</t>
  </si>
  <si>
    <t>kneel,lay down,frog,missionary</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</si>
  <si>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</si>
  <si>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</si>
  <si>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</si>
  <si>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</si>
  <si>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</si>
  <si>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</si>
  <si>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</si>
  <si>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</si>
  <si>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</si>
  <si>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</si>
  <si>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</si>
  <si>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</si>
  <si>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</si>
  <si>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</si>
  <si>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</si>
  <si>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</si>
  <si>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</si>
  <si>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</si>
  <si>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</si>
  <si>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</si>
  <si>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</si>
  <si>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</si>
  <si>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</si>
  <si>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</si>
  <si>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</si>
  <si>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</si>
  <si>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</si>
  <si>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</si>
  <si>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</si>
  <si>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</si>
  <si>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</si>
  <si>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</si>
  <si>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</si>
  <si>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https://www.xozilla.xxx/videos/136923/kinky-femdom-porn-clip/</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</si>
  <si>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</si>
  <si>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</si>
  <si>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</si>
  <si>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</si>
  <si>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</si>
  <si>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</si>
  <si>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</si>
  <si>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</si>
  <si>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</si>
  <si>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</si>
  <si>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</si>
  <si>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missionary legs up,lay down,face sit</t>
  </si>
  <si>
    <t>sit ,missionary,doggy</t>
  </si>
  <si>
    <t>face sit,69,m legs</t>
  </si>
  <si>
    <t>lay down,face sit</t>
  </si>
  <si>
    <t>ass up face down,suspended,face sit</t>
  </si>
  <si>
    <t>chastity,feet,peg,face sit,cage,mummy</t>
  </si>
  <si>
    <t>pussy eat,fondle,face sit,fingering,dildo,cunnilingus</t>
  </si>
  <si>
    <t>leashed at 2m,boot licking at 4m,face sit and fondle at 12m,inverted at 20m</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</si>
  <si>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</si>
  <si>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</si>
  <si>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</si>
  <si>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</si>
  <si>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</si>
  <si>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</si>
  <si>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</si>
  <si>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</si>
  <si>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</si>
  <si>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</si>
  <si>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</si>
  <si>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</si>
  <si>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</si>
  <si>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</si>
  <si>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</si>
  <si>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</si>
  <si>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</si>
  <si>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</si>
  <si>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</si>
  <si>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</si>
  <si>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</si>
  <si>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</si>
  <si>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</si>
  <si>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</si>
  <si>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</si>
  <si>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</si>
  <si>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</si>
  <si>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</si>
  <si>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</si>
  <si>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</si>
  <si>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</si>
  <si>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</si>
  <si>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</si>
  <si>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</si>
  <si>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</si>
  <si>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</si>
  <si>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</si>
  <si>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</si>
  <si>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</si>
  <si>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</si>
  <si>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</si>
  <si>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</si>
  <si>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</si>
  <si>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</si>
  <si>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</si>
  <si>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</si>
  <si>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</si>
  <si>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</si>
  <si>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</si>
  <si>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</si>
  <si>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</si>
  <si>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</si>
  <si>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</si>
  <si>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</si>
  <si>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</si>
  <si>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</si>
  <si>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</si>
  <si>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</si>
  <si>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</si>
  <si>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</si>
  <si>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</si>
  <si>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</si>
  <si>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</si>
  <si>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</si>
  <si>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</si>
  <si>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</si>
  <si>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</si>
  <si>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</si>
  <si>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</si>
  <si>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</si>
  <si>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</si>
  <si>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</si>
  <si>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</si>
  <si>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</si>
  <si>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</si>
  <si>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</si>
  <si>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</si>
  <si>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</si>
  <si>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</si>
  <si>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</si>
  <si>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</si>
  <si>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</si>
  <si>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</si>
  <si>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</si>
  <si>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</si>
  <si>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</si>
  <si>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</si>
  <si>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</si>
  <si>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</si>
  <si>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</si>
  <si>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</si>
  <si>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</si>
  <si>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</si>
  <si>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</si>
  <si>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</si>
  <si>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</si>
  <si>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</si>
  <si>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</si>
  <si>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</si>
  <si>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</si>
  <si>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</si>
  <si>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</si>
  <si>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</si>
  <si>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</si>
  <si>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</si>
  <si>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</si>
  <si>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</si>
  <si>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</si>
  <si>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</si>
  <si>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</si>
  <si>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</si>
  <si>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</si>
  <si>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</si>
  <si>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</si>
  <si>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</si>
  <si>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</si>
  <si>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</si>
  <si>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</si>
  <si>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</si>
  <si>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</si>
  <si>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</si>
  <si>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</si>
  <si>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</si>
  <si>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</si>
  <si>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</si>
  <si>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</si>
  <si>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</si>
  <si>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</si>
  <si>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</si>
  <si>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</si>
  <si>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</si>
  <si>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</si>
  <si>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</si>
  <si>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</si>
  <si>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</si>
  <si>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</si>
  <si>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</si>
  <si>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</si>
  <si>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</si>
  <si>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</si>
  <si>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</si>
  <si>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</si>
  <si>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</si>
  <si>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</si>
  <si>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</si>
  <si>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</si>
  <si>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</si>
  <si>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</si>
  <si>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</si>
  <si>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</si>
  <si>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</si>
  <si>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</si>
  <si>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</si>
  <si>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</si>
  <si>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</si>
  <si>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</si>
  <si>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</si>
  <si>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</si>
  <si>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</si>
  <si>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</si>
  <si>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</si>
  <si>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</si>
  <si>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</si>
  <si>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</si>
  <si>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</si>
  <si>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</si>
  <si>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</si>
  <si>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</si>
  <si>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</si>
  <si>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</si>
  <si>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</si>
  <si>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</si>
  <si>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</si>
  <si>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</si>
  <si>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</si>
  <si>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</si>
  <si>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</si>
  <si>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</si>
  <si>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</si>
  <si>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</si>
  <si>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</si>
  <si>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</si>
  <si>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</si>
  <si>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</si>
  <si>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</si>
  <si>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</si>
  <si>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</si>
  <si>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</si>
  <si>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</si>
  <si>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</si>
  <si>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</si>
  <si>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</si>
  <si>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</si>
  <si>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</si>
  <si>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</si>
  <si>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</si>
  <si>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</si>
  <si>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</si>
  <si>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</si>
  <si>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</si>
  <si>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</si>
  <si>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</si>
  <si>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</si>
  <si>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</si>
  <si>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</si>
  <si>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</si>
  <si>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</si>
  <si>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</si>
  <si>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</si>
  <si>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</si>
  <si>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</si>
  <si>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</si>
  <si>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</si>
  <si>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</si>
  <si>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</si>
  <si>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</si>
  <si>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</si>
  <si>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</si>
  <si>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</si>
  <si>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</si>
  <si>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</si>
  <si>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</si>
  <si>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</si>
  <si>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</si>
  <si>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</si>
  <si>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</si>
  <si>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</si>
  <si>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</si>
  <si>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</si>
  <si>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</si>
  <si>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</si>
  <si>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</si>
  <si>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</si>
  <si>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</si>
  <si>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</si>
  <si>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</si>
  <si>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</si>
  <si>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</si>
  <si>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</si>
  <si>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</si>
  <si>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</si>
  <si>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</si>
  <si>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</si>
  <si>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</si>
  <si>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</si>
  <si>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</si>
  <si>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</si>
  <si>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</si>
  <si>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</si>
  <si>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</si>
  <si>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</si>
  <si>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</si>
  <si>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</si>
  <si>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</si>
  <si>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</si>
  <si>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</si>
  <si>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</si>
  <si>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</si>
  <si>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</si>
  <si>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</si>
  <si>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</si>
  <si>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</si>
  <si>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</si>
  <si>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</si>
  <si>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</si>
  <si>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</si>
  <si>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</si>
  <si>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</si>
  <si>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</si>
  <si>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</si>
  <si>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</si>
  <si>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</si>
  <si>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</si>
  <si>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</si>
  <si>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</si>
  <si>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</si>
  <si>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</si>
  <si>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</si>
  <si>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</si>
  <si>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</si>
  <si>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</si>
  <si>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</si>
  <si>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</si>
  <si>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</si>
  <si>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</si>
  <si>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</si>
  <si>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</si>
  <si>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</si>
  <si>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</si>
  <si>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</si>
  <si>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</si>
  <si>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</si>
  <si>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</si>
  <si>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</si>
  <si>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</si>
  <si>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</si>
  <si>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</si>
  <si>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</si>
  <si>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</si>
  <si>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</si>
  <si>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</si>
  <si>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</si>
  <si>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</si>
  <si>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</si>
  <si>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</si>
  <si>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</si>
  <si>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</si>
  <si>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</si>
  <si>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</si>
  <si>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</si>
  <si>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</si>
  <si>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</si>
  <si>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</si>
  <si>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</si>
  <si>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</si>
  <si>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</si>
  <si>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</si>
  <si>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</si>
  <si>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</si>
  <si>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</si>
  <si>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</si>
  <si>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</si>
  <si>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</si>
  <si>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</si>
  <si>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</si>
  <si>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</si>
  <si>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</si>
  <si>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</si>
  <si>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</si>
  <si>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</si>
  <si>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</si>
  <si>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</si>
  <si>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</si>
  <si>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</si>
  <si>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</si>
  <si>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</si>
  <si>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</si>
  <si>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</si>
  <si>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</si>
  <si>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</si>
  <si>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</si>
  <si>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</si>
  <si>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</si>
  <si>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</si>
  <si>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</si>
  <si>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</si>
  <si>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</si>
  <si>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</si>
  <si>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</si>
  <si>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</si>
  <si>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</si>
  <si>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</si>
  <si>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</si>
  <si>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</si>
  <si>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</si>
  <si>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</si>
  <si>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</si>
  <si>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</si>
  <si>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</si>
  <si>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</si>
  <si>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</si>
  <si>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</si>
  <si>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</si>
  <si>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</si>
  <si>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</si>
  <si>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</si>
  <si>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</si>
  <si>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</si>
  <si>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</si>
  <si>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</si>
  <si>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</si>
  <si>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</si>
  <si>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</si>
  <si>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</si>
  <si>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</si>
  <si>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</si>
  <si>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</si>
  <si>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</si>
  <si>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</si>
  <si>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</si>
  <si>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</si>
  <si>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</si>
  <si>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</si>
  <si>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</si>
  <si>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</si>
  <si>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</si>
  <si>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</si>
  <si>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</si>
  <si>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</si>
  <si>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</si>
  <si>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</si>
  <si>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</si>
  <si>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</si>
  <si>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</si>
  <si>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</si>
  <si>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</si>
  <si>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</si>
  <si>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</si>
  <si>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</si>
  <si>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</si>
  <si>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</si>
  <si>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</si>
  <si>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</si>
  <si>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</si>
  <si>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</si>
  <si>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</si>
  <si>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</si>
  <si>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</si>
  <si>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</si>
  <si>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</si>
  <si>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</si>
  <si>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</si>
  <si>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</si>
  <si>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</si>
  <si>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</si>
  <si>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</si>
  <si>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</si>
  <si>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</si>
  <si>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</si>
  <si>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</si>
  <si>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</si>
  <si>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</si>
  <si>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</si>
  <si>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</si>
  <si>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</si>
  <si>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</si>
  <si>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</si>
  <si>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</si>
  <si>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</si>
  <si>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</si>
  <si>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</si>
  <si>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</si>
  <si>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</si>
  <si>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</si>
  <si>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</si>
  <si>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</si>
  <si>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</si>
  <si>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</si>
  <si>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</si>
  <si>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</si>
  <si>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</si>
  <si>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</si>
  <si>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</si>
  <si>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</si>
  <si>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</si>
  <si>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</si>
  <si>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</si>
  <si>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</si>
  <si>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</si>
  <si>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</si>
  <si>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</si>
  <si>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</si>
  <si>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</si>
  <si>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</si>
  <si>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</si>
  <si>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</si>
  <si>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</si>
  <si>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</si>
  <si>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</si>
  <si>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</si>
  <si>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</si>
  <si>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</si>
  <si>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</si>
  <si>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</si>
  <si>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</si>
  <si>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</si>
  <si>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</si>
  <si>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</si>
  <si>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</si>
  <si>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</si>
  <si>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</si>
  <si>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</si>
  <si>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</si>
  <si>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</si>
  <si>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</si>
  <si>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</si>
  <si>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</si>
  <si>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</si>
  <si>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</si>
  <si>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</si>
  <si>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</si>
  <si>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</si>
  <si>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</si>
  <si>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</si>
  <si>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</si>
  <si>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</si>
  <si>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</si>
  <si>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</si>
  <si>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</si>
  <si>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</si>
  <si>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</si>
  <si>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</si>
  <si>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</si>
  <si>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</si>
  <si>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</si>
  <si>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</si>
  <si>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</si>
  <si>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</si>
  <si>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</si>
  <si>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</si>
  <si>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</si>
  <si>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</si>
  <si>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</si>
  <si>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</si>
  <si>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</si>
  <si>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</si>
  <si>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</si>
  <si>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</si>
  <si>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</si>
  <si>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</si>
  <si>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</si>
  <si>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</si>
  <si>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</si>
  <si>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</si>
  <si>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</si>
  <si>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</si>
  <si>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</si>
  <si>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</si>
  <si>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</si>
  <si>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</si>
  <si>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</si>
  <si>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</si>
  <si>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</si>
  <si>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</si>
  <si>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</si>
  <si>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</si>
  <si>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</si>
  <si>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</si>
  <si>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</si>
  <si>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</si>
  <si>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</si>
  <si>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</si>
  <si>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</si>
  <si>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</si>
  <si>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</si>
  <si>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</si>
  <si>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</si>
  <si>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</si>
  <si>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</si>
  <si>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</si>
  <si>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</si>
  <si>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</si>
  <si>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</si>
  <si>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</si>
  <si>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</si>
  <si>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</si>
  <si>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</si>
  <si>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</si>
  <si>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</si>
  <si>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</si>
  <si>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</si>
  <si>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</si>
  <si>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</si>
  <si>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</si>
  <si>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</si>
  <si>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</si>
  <si>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</si>
  <si>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</si>
  <si>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</si>
  <si>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</si>
  <si>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</si>
  <si>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</si>
  <si>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</si>
  <si>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</si>
  <si>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</si>
  <si>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</si>
  <si>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</si>
  <si>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</si>
  <si>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</si>
  <si>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</si>
  <si>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</si>
  <si>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</si>
  <si>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</si>
  <si>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</si>
  <si>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</si>
  <si>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</si>
  <si>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</si>
  <si>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</si>
  <si>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</si>
  <si>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</si>
  <si>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</si>
  <si>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</si>
  <si>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</si>
  <si>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</si>
  <si>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</si>
  <si>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</si>
  <si>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</si>
  <si>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</si>
  <si>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</si>
  <si>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</si>
  <si>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</si>
  <si>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</si>
  <si>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</si>
  <si>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</si>
  <si>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</si>
  <si>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</si>
  <si>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</si>
  <si>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</si>
  <si>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</si>
  <si>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</si>
  <si>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</si>
  <si>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</si>
  <si>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</si>
  <si>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</si>
  <si>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</si>
  <si>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</si>
  <si>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</si>
  <si>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</si>
  <si>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</si>
  <si>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</si>
  <si>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</si>
  <si>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</si>
  <si>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</si>
  <si>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</si>
  <si>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</si>
  <si>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</si>
  <si>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</si>
  <si>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</si>
  <si>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</si>
  <si>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</si>
  <si>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</si>
  <si>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</si>
  <si>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</si>
  <si>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</si>
  <si>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</si>
  <si>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</si>
  <si>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</si>
  <si>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</si>
  <si>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</si>
  <si>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</si>
  <si>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</si>
  <si>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</si>
  <si>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</si>
  <si>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</si>
  <si>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</si>
  <si>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</si>
  <si>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</si>
  <si>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</si>
  <si>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</si>
  <si>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</si>
  <si>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</si>
  <si>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</si>
  <si>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</si>
  <si>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</si>
  <si>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</si>
  <si>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</si>
  <si>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</si>
  <si>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</si>
  <si>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</si>
  <si>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</si>
  <si>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</si>
  <si>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</si>
  <si>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</si>
  <si>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</si>
  <si>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</si>
  <si>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</si>
  <si>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</si>
  <si>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</si>
  <si>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</si>
  <si>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</si>
  <si>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</si>
  <si>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</si>
  <si>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</si>
  <si>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</si>
  <si>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</si>
  <si>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</si>
  <si>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</si>
  <si>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</si>
  <si>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</si>
  <si>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</si>
  <si>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</si>
  <si>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</si>
  <si>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</si>
  <si>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</si>
  <si>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</si>
  <si>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</si>
  <si>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</si>
  <si>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</si>
  <si>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</si>
  <si>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</si>
  <si>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</si>
  <si>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</si>
  <si>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</si>
  <si>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</si>
  <si>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</si>
  <si>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</si>
  <si>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</si>
  <si>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</si>
  <si>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</si>
  <si>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</si>
  <si>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</si>
  <si>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</si>
  <si>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</si>
  <si>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</si>
  <si>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</si>
  <si>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</si>
  <si>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</si>
  <si>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</si>
  <si>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</si>
  <si>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</si>
  <si>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</si>
  <si>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</si>
  <si>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</si>
  <si>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</si>
  <si>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</si>
  <si>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</si>
  <si>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</si>
  <si>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</si>
  <si>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</si>
  <si>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</si>
  <si>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</si>
  <si>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</si>
  <si>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</si>
  <si>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</si>
  <si>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</si>
  <si>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</si>
  <si>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</si>
  <si>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</si>
  <si>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</si>
  <si>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</si>
  <si>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</si>
  <si>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</si>
  <si>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</si>
  <si>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</si>
  <si>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</si>
  <si>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</si>
  <si>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</si>
  <si>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</si>
  <si>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</si>
  <si>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</si>
  <si>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</si>
  <si>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</si>
  <si>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</si>
  <si>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</si>
  <si>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</si>
  <si>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</si>
  <si>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</si>
  <si>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</si>
  <si>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</si>
  <si>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</si>
  <si>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</si>
  <si>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</si>
  <si>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</si>
  <si>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</si>
  <si>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</si>
  <si>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</si>
  <si>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</si>
  <si>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</si>
  <si>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</si>
  <si>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</si>
  <si>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</si>
  <si>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</si>
  <si>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</si>
  <si>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</si>
  <si>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</si>
  <si>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</si>
  <si>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</si>
  <si>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</si>
  <si>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</si>
  <si>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</si>
  <si>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</si>
  <si>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</si>
  <si>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</si>
  <si>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</si>
  <si>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</si>
  <si>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</si>
  <si>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</si>
  <si>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</si>
  <si>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</si>
  <si>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</si>
  <si>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</si>
  <si>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</si>
  <si>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</si>
  <si>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</si>
  <si>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</si>
  <si>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</si>
  <si>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</si>
  <si>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</si>
  <si>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</si>
  <si>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</si>
  <si>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</si>
  <si>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</si>
  <si>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</si>
  <si>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</si>
  <si>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</si>
  <si>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</si>
  <si>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</si>
  <si>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</si>
  <si>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</si>
  <si>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</si>
  <si>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</si>
  <si>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</si>
  <si>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</si>
  <si>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</si>
  <si>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</si>
  <si>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</si>
  <si>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</si>
  <si>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</si>
  <si>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</si>
  <si>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</si>
  <si>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</si>
  <si>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</si>
  <si>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</si>
  <si>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</si>
  <si>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</si>
  <si>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</si>
  <si>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</si>
  <si>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</si>
  <si>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</si>
  <si>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</si>
  <si>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</si>
  <si>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</si>
  <si>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</si>
  <si>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</si>
  <si>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</si>
  <si>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</si>
  <si>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</si>
  <si>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</si>
  <si>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</si>
  <si>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</si>
  <si>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</si>
  <si>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</si>
  <si>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</si>
  <si>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</si>
  <si>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https://bdsmstreak.com/video/87203</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</si>
  <si>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</si>
  <si>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</si>
  <si>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</si>
  <si>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</si>
  <si>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</si>
  <si>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</si>
  <si>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</si>
  <si>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</si>
  <si>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</si>
  <si>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</si>
  <si>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</si>
  <si>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</si>
  <si>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</si>
  <si>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</si>
  <si>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</si>
  <si>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</si>
  <si>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</si>
  <si>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</si>
  <si>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</si>
  <si>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</si>
  <si>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</si>
  <si>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</si>
  <si>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</si>
  <si>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</si>
  <si>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</si>
  <si>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</si>
  <si>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</si>
  <si>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</si>
  <si>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</si>
  <si>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</si>
  <si>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</si>
  <si>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</si>
  <si>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</si>
  <si>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</si>
  <si>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</si>
  <si>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</si>
  <si>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</si>
  <si>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</si>
  <si>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</si>
  <si>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</si>
  <si>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</si>
  <si>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</si>
  <si>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</si>
  <si>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</si>
  <si>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</si>
  <si>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</si>
  <si>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</si>
  <si>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</si>
  <si>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</si>
  <si>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</si>
  <si>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</si>
  <si>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</si>
  <si>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</si>
  <si>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</si>
  <si>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</si>
  <si>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bobbi star,ariel x</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</si>
  <si>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</si>
  <si>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</si>
  <si>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</si>
  <si>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</si>
  <si>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</si>
  <si>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</si>
  <si>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</si>
  <si>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</si>
  <si>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</si>
  <si>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</si>
  <si>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</si>
  <si>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</si>
  <si>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</si>
  <si>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krystal main, madeline marlowe, lilla katt</t>
  </si>
  <si>
    <t>https://bdsmstreak.com/video/89746/bound-by-metal-covered-in-wax-fucked-by-machine</t>
  </si>
  <si>
    <t>https://www.kink.com/shoot/35336</t>
  </si>
  <si>
    <t>https://porndoe.com/watch/pd0s4t6y9l1c#pwu</t>
  </si>
  <si>
    <t>lyla storm</t>
  </si>
  <si>
    <t>nice positions, crotch chain</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</si>
  <si>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</si>
  <si>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</si>
  <si>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</si>
  <si>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</si>
  <si>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</si>
  <si>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</si>
  <si>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</si>
  <si>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</si>
  <si>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</si>
  <si>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</si>
  <si>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</si>
  <si>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</si>
  <si>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</si>
  <si>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</si>
  <si>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</si>
  <si>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</si>
  <si>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</si>
  <si>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</si>
  <si>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elyssa greene, cherie deville,madeline marlowe</t>
  </si>
  <si>
    <t>tia ling</t>
  </si>
  <si>
    <t>cherie deville,holly hendrix</t>
  </si>
  <si>
    <t>anikka albrite, lea lexis</t>
  </si>
  <si>
    <t>dahlia sky,lorelei lee</t>
  </si>
  <si>
    <t>sheena shaw</t>
  </si>
  <si>
    <t>missy minks</t>
  </si>
  <si>
    <t>brooke johnson</t>
  </si>
  <si>
    <t>felony,jessie cox,krissy lynn</t>
  </si>
  <si>
    <t>courtney taylor</t>
  </si>
  <si>
    <t>katie summers</t>
  </si>
  <si>
    <t>sensi pearl,rain degrey</t>
  </si>
  <si>
    <t>vendetta,clair adams</t>
  </si>
  <si>
    <t>plastic bag</t>
  </si>
  <si>
    <t>ass hair</t>
  </si>
  <si>
    <t>pretzel,oiled</t>
  </si>
  <si>
    <t>PRIORITY,oiled,wax</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</si>
  <si>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</si>
  <si>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</si>
  <si>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</si>
  <si>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</si>
  <si>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</si>
  <si>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</si>
  <si>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</si>
  <si>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</si>
  <si>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</si>
  <si>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</si>
  <si>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</si>
  <si>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</si>
  <si>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</si>
  <si>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</si>
  <si>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</si>
  <si>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</si>
  <si>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</si>
  <si>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</si>
  <si>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Ariel X, Annie Cruz Part 1 of 4 of the March Live Feed</t>
  </si>
  <si>
    <t>shave,best ariel x</t>
  </si>
  <si>
    <t>https://bdsmstreak.com/video/92915/ariel-x-annie-cruz-part-4-of-4-of-the-march-live-feed-the-domination-of-isis</t>
  </si>
  <si>
    <t>inverted OG ass up</t>
  </si>
  <si>
    <t>Ariel X, Annie Cruz Part 4 of 4 of the March Live Feed The domination of Isis</t>
  </si>
  <si>
    <t>https://bdsmstreak.com/video/69444/the-sadist-s-apprentice</t>
  </si>
  <si>
    <t>PRIORITY,cigg in ass, bent on wheel,live show</t>
  </si>
  <si>
    <t>2f-1m</t>
  </si>
  <si>
    <t>amber rayne,isis love,jade indica</t>
  </si>
  <si>
    <t>3f-1m</t>
  </si>
  <si>
    <t>2f-1m,ball gag,cock ring,body clothespin,flog,peg</t>
  </si>
  <si>
    <t>2f-1m,body clothespin,wax,face dildo,spitroast,ice</t>
  </si>
  <si>
    <t>2f-1m,flog,cunnilingus,peg,body clothespin,spank</t>
  </si>
  <si>
    <t>https://hcbdsm.com/video/109333/two-mean-bitches-and-one-worthless-little-prick6/</t>
  </si>
  <si>
    <t>2f-fmgb,fucking machine,flog,exhibitionism,lesbian spank,fingering,chain in pussy and ass</t>
  </si>
  <si>
    <t>2f-fmgb</t>
  </si>
  <si>
    <t>2f-1m,live,ball gag,neck lock,nipple clamps,flog,nipple clamps weights,step on nails,anal hook,vibrator</t>
  </si>
  <si>
    <t>hasMultistar</t>
  </si>
  <si>
    <t>https://bdsmstreak.com/video/89604/beretta-james-live-show-complete-edited-version</t>
  </si>
  <si>
    <t>1f-2f</t>
  </si>
  <si>
    <t>1f-1f</t>
  </si>
  <si>
    <t>2f-1f1m</t>
  </si>
  <si>
    <t>1f-1f,cunnilingus,fingering,panty gag,spank,tit flog,pussy flog,ball gag,flog,vibrator,strapon,open mouth gag,pussy clamps,clit suction,nipple suction</t>
  </si>
  <si>
    <t>1f-1f,fist,strapon,anal</t>
  </si>
  <si>
    <t>https://bdsmstreak.com/video/80920/butt-sluts-casey-calvert-and-katja-kassin</t>
  </si>
  <si>
    <t>1f-1f,butt plug,strapon,dildo stick,fist</t>
  </si>
  <si>
    <t>1f-1f,strapon,spank,pussy eat,feet,toe in pussy,inverted ass fuck</t>
  </si>
  <si>
    <t>1f-1f,nipple clamps,shocking,water board,bite gag,cane,flog</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</si>
  <si>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</si>
  <si>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</si>
  <si>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</si>
  <si>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</si>
  <si>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1f-1f,tape gag,flog,cunnilingus,oiled,strapon,tit torture</t>
  </si>
  <si>
    <t>https://hcbdsm.com/video/84160/elecro-lezdom-isis-love-opens-audrey-s-tight-asshole/</t>
  </si>
  <si>
    <t>https://hcbdsm.com/video/98524/anal-perversion/</t>
  </si>
  <si>
    <t>1f-1f,crotch rope walk,crotch chain walk,hot sauce lathering,whip</t>
  </si>
  <si>
    <t>1f-1f,cigg,pantyhose,tit slap,vibrator</t>
  </si>
  <si>
    <t>1f-2f,nose hook,ball gag, pussy wedgie,flog,cane,vibrator,anal hook,spank,clit suction,pussy clamps,slap,tit slap,dp dildo,nipple clamps weight,oiled,one bar prison,spit,fucking machine</t>
  </si>
  <si>
    <t>https://bdsmstreak.com/video/94812/ariel-x-annie-cruz-part-1-of-4-of-the-march-live-feed</t>
  </si>
  <si>
    <t>1f-1f,kiss,pussy clothespin,strapon,electric,feet,pussy bite,pussy eat,pussy flog,ball gag</t>
  </si>
  <si>
    <t>1f-1f,tunnel gag,spank,flog,nipple clamps,vibrator,taser,electric,ball gag,sybian,strapon</t>
  </si>
  <si>
    <t>https://bdsmstreak.com/video/80882/anal-girls-slumber-holiday</t>
  </si>
  <si>
    <t>1f-1f,trample,high heel,feet</t>
  </si>
  <si>
    <t>1f-1f,bite gag,stapler,flog</t>
  </si>
  <si>
    <t>1f-1f,spank,face sit,fondle,nipple suck</t>
  </si>
  <si>
    <t>1f-1f1m</t>
  </si>
  <si>
    <t>1f-1f,fist,ass eat,pussy eat,fingering,anal fingering,kiss</t>
  </si>
  <si>
    <t>1f-2f,live,ball gag,whip,oiled,nipple clamps,flog,body clothespin,vibrator,dildo stick,funnel gag,pussy clamps,pussy fist,sybian,blindfold,wire gag,slap</t>
  </si>
  <si>
    <t>https://bdsmmansion.com/video/11179/09-03-27-6306-wenona-maitresse-madeline-marlowe-sasha-lexing-ballerina-sluts/</t>
  </si>
  <si>
    <t>https://hcbdsm.com/video/83137/19-year-old-s-fierce-introduced-to-the-bitches/</t>
  </si>
  <si>
    <t>2f-1m,cane,flog,nipple clamps,peg,cunnilingus,cock plate,feet</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</si>
  <si>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</si>
  <si>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</si>
  <si>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</si>
  <si>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</si>
  <si>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</si>
  <si>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</si>
  <si>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</si>
  <si>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2f-1m,spank,flog,nipple clamps,ball gag,crotch rope walk</t>
  </si>
  <si>
    <t xml:space="preserve">1f-1f,nipple suction,flog,fucking machine,piv,vibrator,strapon </t>
  </si>
  <si>
    <t>1f-1f1m,pretzel,toilet,toe in pussy,inverted ass fuck</t>
  </si>
  <si>
    <t>https://hcbdsm.com/video/107911/lew-rubens-alpha-productions-michelle-drea-liplocked/</t>
  </si>
  <si>
    <t>2f-1m,liplocker gag</t>
  </si>
  <si>
    <t>2f-1m,flog,lesbian fist,tongue clothespin,ass up face down,anal cum</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</si>
  <si>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</si>
  <si>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</si>
  <si>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</si>
  <si>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</si>
  <si>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</si>
  <si>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</si>
  <si>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https://www.javxxx.me/video/tki-039/</t>
  </si>
  <si>
    <t>dia zerva,felony</t>
  </si>
  <si>
    <t>peg,humiliation,chastity,milking,latex,humbler</t>
  </si>
  <si>
    <t>peg,humiliation,chastity</t>
  </si>
  <si>
    <t>2f-2m,jav,body clothespin,oiled,fondle,pussy eat</t>
  </si>
  <si>
    <t>mei akikusa, misato nonomiya</t>
  </si>
  <si>
    <t>https://heavyfetish.com/videos/86145/everythingbutt-casey-calvert-and-tommy-king/</t>
  </si>
  <si>
    <t>unknown-studio</t>
  </si>
  <si>
    <t>website-link</t>
  </si>
  <si>
    <t>unknown-stars-many</t>
  </si>
  <si>
    <t>NotApplicable</t>
  </si>
  <si>
    <t>https://bdsmstreak.com/video/79085/ashley-lane-pain-slut-brutally-tormented-in-device-bondage</t>
  </si>
  <si>
    <t>ashley lane</t>
  </si>
  <si>
    <t>kneel,lay down</t>
  </si>
  <si>
    <t>tit flog at 8m,pussy flog at 9m,tit slap at 9m,full flog at 20m,spring matterss at 31m,step on back at 43m</t>
  </si>
  <si>
    <t>tit flog,pussy flog,tit slap,flog,cane,spring mattress,step on</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</si>
  <si>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</si>
  <si>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</si>
  <si>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</si>
  <si>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</si>
  <si>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</si>
  <si>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</si>
  <si>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</si>
  <si>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</si>
  <si>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</si>
  <si>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</si>
  <si>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</si>
  <si>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</si>
  <si>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</si>
  <si>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</si>
  <si>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</si>
  <si>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</si>
  <si>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</si>
  <si>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</si>
  <si>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</si>
  <si>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oiled,paddle</t>
  </si>
  <si>
    <t>https://hcbdsm.com/video/96173/claire-adams-vs-rough-rider-wenona/</t>
  </si>
  <si>
    <t>wenona,claire adams</t>
  </si>
  <si>
    <t>pretzel,fist,split,sybian</t>
  </si>
  <si>
    <t>https://hcbdsm.com/video/109027/claire-dames-and-wenona-there-is-something-you-don-t-see-everyday/</t>
  </si>
  <si>
    <t>pretzel,face lock</t>
  </si>
  <si>
    <t>https://bdsmstreak.com/video/72144/claires-day-off</t>
  </si>
  <si>
    <t>sarah jay</t>
  </si>
  <si>
    <t>pretzel,fat</t>
  </si>
  <si>
    <t>https://bdsmstreak.com/video/72089/college-girl-ravished</t>
  </si>
  <si>
    <t>ash hollywood</t>
  </si>
  <si>
    <t>https://bdsmstreak.com/video/81010/come-enema-and-anal-domination</t>
  </si>
  <si>
    <t>isis love,elise graves</t>
  </si>
  <si>
    <t>https://bdsmstreak.com/video/94525/crystal-frost</t>
  </si>
  <si>
    <t>inverted,one bar,crotch metal</t>
  </si>
  <si>
    <t>https://bdsmstreak.com/video/80591/cute-red-head-plucked-off-the-street-hung-upside-down-and-double-penetrated</t>
  </si>
  <si>
    <t>nyomi banxxx,aiden starr,madeline marlowe,annabelle lee</t>
  </si>
  <si>
    <t>foursome lesbian</t>
  </si>
  <si>
    <t>https://bdsmstreak.com/video/88406/fucked-and-bound-2014-01-17-cute-young-blonde-overwhelmed-with-bondage-and-cock-elyssa-greene-mickey-mod</t>
  </si>
  <si>
    <t>kink fucked and bound</t>
  </si>
  <si>
    <t>elyssa greene</t>
  </si>
  <si>
    <t>inverted,suspended,</t>
  </si>
  <si>
    <t>https://hcbdsm.com/video/110561/cyd-black-and-amber-rayne/</t>
  </si>
  <si>
    <t>https://bdsmstreak.com/video/78428/damage-me-please</t>
  </si>
  <si>
    <t>dahlia sky</t>
  </si>
  <si>
    <t>inverted,bent,wax</t>
  </si>
  <si>
    <t>https://heavyfetish.com/videos/95757/dani-daniels-in-brutal-bondage-tormented-and-made-to-cum-uncontrollably/</t>
  </si>
  <si>
    <t>https://hcbdsm.com/video/90227/destroying-the-homecoming-queen/</t>
  </si>
  <si>
    <t>anikka albrite, ash hollywood, isis love, Gia dimarco</t>
  </si>
  <si>
    <t>foursome lesbian,toilet,plastic</t>
  </si>
  <si>
    <t>https://www.twistedfactory.com/shoot/34846</t>
  </si>
  <si>
    <t>darling</t>
  </si>
  <si>
    <t>actual is 50mins</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</si>
  <si>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</si>
  <si>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</si>
  <si>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</si>
  <si>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</si>
  <si>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</si>
  <si>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</si>
  <si>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</si>
  <si>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</si>
  <si>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</si>
  <si>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</si>
  <si>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</si>
  <si>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</si>
  <si>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</si>
  <si>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clair adams,adrianna nicole</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</si>
  <si>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</si>
  <si>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</si>
  <si>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</si>
  <si>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</si>
  <si>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</si>
  <si>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</si>
  <si>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</si>
  <si>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</si>
  <si>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</si>
  <si>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</si>
  <si>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penny pax.cherry torn</t>
  </si>
  <si>
    <t>outdoors</t>
  </si>
  <si>
    <t>https://hcbdsm.com/video/90620/part-2-felony-live-show-most-flexible-milf/</t>
  </si>
  <si>
    <t>https://hcbdsm.com/video/110052/felony-amazing-milf-squirter3/</t>
  </si>
  <si>
    <t>anal hook,inverted</t>
  </si>
  <si>
    <t>https://bdsmstreak.com/video/73957/final-reckoning</t>
  </si>
  <si>
    <t>iona grace</t>
  </si>
  <si>
    <t>https://bdsmstreak.com/video/80463/first-kinky-lesbian-experience</t>
  </si>
  <si>
    <t>ashlee graham,felony</t>
  </si>
  <si>
    <t>felony lesbian,pussy clamps</t>
  </si>
  <si>
    <t>https://bdsmstreak.com/video/80889/fist-punching-sarah</t>
  </si>
  <si>
    <t>krissy lynn,sarah shevon</t>
  </si>
  <si>
    <t>https://www.twistedfactory.com/shoot/34079</t>
  </si>
  <si>
    <t>kink chantasbitches</t>
  </si>
  <si>
    <t>mz berlin,amber rayne</t>
  </si>
  <si>
    <t>foot up ass</t>
  </si>
  <si>
    <t>https://bdsmstreak.com/video/89566/fragments-viii</t>
  </si>
  <si>
    <t>mz berlin,penny pax</t>
  </si>
  <si>
    <t>https://bdsmstreak.com/video/93740/fresh-meat-rosalyn-sphinx</t>
  </si>
  <si>
    <t>rosalyn sphinx</t>
  </si>
  <si>
    <t>https://bdsmstreak.com/video/68818/fresh-talent</t>
  </si>
  <si>
    <t>felony,madison scott</t>
  </si>
  <si>
    <t>felony lesbian</t>
  </si>
  <si>
    <t>rain degrey</t>
  </si>
  <si>
    <t>chains,suspened</t>
  </si>
  <si>
    <t>https://bdsmstreak.com/video/87371/sexually-broken-the-farmers-daughter</t>
  </si>
  <si>
    <t>unknown-star</t>
  </si>
  <si>
    <t>https://www.kink.com/shoot/25815</t>
  </si>
  <si>
    <t>kristina rose, lorelei lee</t>
  </si>
  <si>
    <t>inverted and bent</t>
  </si>
  <si>
    <t>https://www.twistedfactory.com/shoot/34426</t>
  </si>
  <si>
    <t>andre shakti</t>
  </si>
  <si>
    <t>pertzel</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</si>
  <si>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</si>
  <si>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</si>
  <si>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</si>
  <si>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</si>
  <si>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</si>
  <si>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</si>
  <si>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</si>
  <si>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oiled,nipple rope</t>
  </si>
  <si>
    <t>https://bdsmstreak.com/video/49558/jada-marxxx-and-sarah-jane-ceylon-db</t>
  </si>
  <si>
    <t>jade marxxx,sarah jane ceylon,clair adams</t>
  </si>
  <si>
    <t>jade marxxx,jenni lee</t>
  </si>
  <si>
    <t>https://www.kink.com/shoot/2423</t>
  </si>
  <si>
    <t>jessica sexin,isis love</t>
  </si>
  <si>
    <t>https://bdsmstreak.com/video/74033/jodi-taylor-eager-slut-elaborately-bound-caned-zapped-and-fucked</t>
  </si>
  <si>
    <t>jodi taylor</t>
  </si>
  <si>
    <t>nipple rope,anal hook</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</si>
  <si>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</si>
  <si>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</si>
  <si>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</si>
  <si>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</si>
  <si>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</si>
  <si>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</si>
  <si>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</si>
  <si>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</si>
  <si>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</si>
  <si>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</si>
  <si>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cytherea, dylan ryan</t>
  </si>
  <si>
    <t>squirt</t>
  </si>
  <si>
    <t>https://hcbdsm.com/video/93382/lesbian-femdom-role-switch-leaves-both-women-begging-for-more3/</t>
  </si>
  <si>
    <t>penny pax,carissa montgomery</t>
  </si>
  <si>
    <t>sensual bdsm</t>
  </si>
  <si>
    <t>https://www.twistedfactory.com/shoot/35252</t>
  </si>
  <si>
    <t>https://bdsmstreak.com/video/47885/jaelyn-fox-sas</t>
  </si>
  <si>
    <t>jaelyn fox</t>
  </si>
  <si>
    <t>https://bdsmstreak.com/video/69744/little-nympho-whore</t>
  </si>
  <si>
    <t>https://bdsmstreak.com/video/94148/long-legs-and-huge-nipples-suffers-foot-caning-finger-fucking-til-squirting</t>
  </si>
  <si>
    <t>extreme pretzel,anal hook</t>
  </si>
  <si>
    <t>https://www.kink.com/shoot/10760</t>
  </si>
  <si>
    <t>jennifer white</t>
  </si>
  <si>
    <t>anal beads</t>
  </si>
  <si>
    <t>https://bdsmstreak.com/video/89623/lorelei-lee-is-bent-in-unforgiving-device-bondage</t>
  </si>
  <si>
    <t>bent,anal hook,chains</t>
  </si>
  <si>
    <t>https://pornzog.com/video/13641601/chanta-sbitches-new-pet-lorelei-lee-mason-moore/</t>
  </si>
  <si>
    <t>lorelei lee,manson moore</t>
  </si>
  <si>
    <t>wax</t>
  </si>
  <si>
    <t>https://bdsmstreak.com/video/76477/lyla-storm-complete-edited-live-show</t>
  </si>
  <si>
    <t>https://bdsmstreak.com/video/74130/lyla-storm-vs-jack-hammer</t>
  </si>
  <si>
    <t>anal hook tied to mouth in pretzel horizontal</t>
  </si>
  <si>
    <t>https://hcbdsm.com/video/94648/madison-scott-is-bound-in-a-traditional-japanese-torment-positionmake-to-cum-and-squirt3/</t>
  </si>
  <si>
    <t>madison scott</t>
  </si>
  <si>
    <t>https://www.kink.com/shoot/4472</t>
  </si>
  <si>
    <t>madison young,sandra romain</t>
  </si>
  <si>
    <t>wooden horse,shock plugs in pussy</t>
  </si>
  <si>
    <t>https://www.twistedfactory.com/shoot/35154</t>
  </si>
  <si>
    <t>https://bdsmmansion.com/video/11203/09-09-11-7084-aiden-starr-marie-mccray-marie-mccray/</t>
  </si>
  <si>
    <t>aiden starr, marie mccray</t>
  </si>
  <si>
    <t>https://bdsmmansion.com/video/16490/mark-davis-and-jade-marxxx/</t>
  </si>
  <si>
    <t>jade marxxx</t>
  </si>
  <si>
    <t>https://bdsmstreak.com/video/95647/mark-davis-and-nadia-styles</t>
  </si>
  <si>
    <t>nadia styles</t>
  </si>
  <si>
    <t>oiled,bent on wheel</t>
  </si>
  <si>
    <t>https://bdsmmansion.com/video/15068/masochistic-anal-sluts-suffer-and-squirt-for-bdsm-party/</t>
  </si>
  <si>
    <t>aiden starr, victoria voxxx, zoe sparx</t>
  </si>
  <si>
    <t>gangbang</t>
  </si>
  <si>
    <t>christina carter,winter sky</t>
  </si>
  <si>
    <t>https://bdsmstreak.com/video/89611/mia-lelani-big-titted-cunt-tormented-complete-edited-live-show</t>
  </si>
  <si>
    <t>mia lelani,mz berlin,bella rossi</t>
  </si>
  <si>
    <t>wax tits</t>
  </si>
  <si>
    <t>https://bdsmstreak.com/video/92802/miss-kitty</t>
  </si>
  <si>
    <t>white pussy thin</t>
  </si>
  <si>
    <t>https://hcbdsm.com/video/84249/missy-minkslive-show-edited/</t>
  </si>
  <si>
    <t>missy minks,mz berlin</t>
  </si>
  <si>
    <t>inverted pussy over face,anal hook, stuck on wall,spank</t>
  </si>
  <si>
    <t>https://bdsmstreak.com/video/76569/missy-minks-tough-lesbian-slut</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</si>
  <si>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</si>
  <si>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</si>
  <si>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</si>
  <si>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</si>
  <si>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</si>
  <si>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</si>
  <si>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</si>
  <si>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wire inside ass, probe electric</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</si>
  <si>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</si>
  <si>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</si>
  <si>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</si>
  <si>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</si>
  <si>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</si>
  <si>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</si>
  <si>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face locked into pussy</t>
  </si>
  <si>
    <t>https://bdsmstreak.com/video/73624/no-cuntry-for-dirty-sluts</t>
  </si>
  <si>
    <t>dakota skye,carter cruise</t>
  </si>
  <si>
    <t>https://bdsmstreak.com/video/70421/no-holds-barred-daisy-ducati-shocks-fucks-lesbian-pain-slut</t>
  </si>
  <si>
    <t>daisy ducati,london river</t>
  </si>
  <si>
    <t>wire inside ass, probe electric,pretzel</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</si>
  <si>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</si>
  <si>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</si>
  <si>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</si>
  <si>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</si>
  <si>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</si>
  <si>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</si>
  <si>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</si>
  <si>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</si>
  <si>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</si>
  <si>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</si>
  <si>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</si>
  <si>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</si>
  <si>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</si>
  <si>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</si>
  <si>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</si>
  <si>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trapped under net</t>
  </si>
  <si>
    <t>https://hcbdsm.com/video/95091/petite-asian-bondage-virgin-gets-a-dose-of-suffering2/</t>
  </si>
  <si>
    <t>alina li</t>
  </si>
  <si>
    <t>https://www.twistedfactory.com/shoot/35502</t>
  </si>
  <si>
    <t>jeze belle</t>
  </si>
  <si>
    <t>https://bdsmstreak.com/video/80570/petite-bondage-slut-sensi-pearl</t>
  </si>
  <si>
    <t>sensi pearl,bobbi star</t>
  </si>
  <si>
    <t>https://hcbdsm.com/video/93824/phoenix-marie-gets-her-ass-fisted-in-bondage/</t>
  </si>
  <si>
    <t>phoenix marie,donna dolore</t>
  </si>
  <si>
    <t>https://www.kink.com/shoot/39366</t>
  </si>
  <si>
    <t>casey calvert,piper perri</t>
  </si>
  <si>
    <t>https://bdsmstreak.com/video/76585/pom-pom-girl-gets-gang-banged-by-basketball-coach-and-team</t>
  </si>
  <si>
    <t>kink bound gang bangs</t>
  </si>
  <si>
    <t>emma haize</t>
  </si>
  <si>
    <t>1f-2mgb</t>
  </si>
  <si>
    <t>https://bdsmstreak.com/video/72527/popping-the-cherry</t>
  </si>
  <si>
    <t>https://hcbdsm.com/video/105177/presenting-chloe-s-cunt-folded-opened-and-exposed2/</t>
  </si>
  <si>
    <t>chloe camilla,payton bell</t>
  </si>
  <si>
    <t>2f-1m.extreme pretzel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</si>
  <si>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</si>
  <si>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</si>
  <si>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</si>
  <si>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</si>
  <si>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</si>
  <si>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</si>
  <si>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</si>
  <si>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</si>
  <si>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</si>
  <si>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</si>
  <si>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inverted,pretzel</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</si>
  <si>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</si>
  <si>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</si>
  <si>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</si>
  <si>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</si>
  <si>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</si>
  <si>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</si>
  <si>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</si>
  <si>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oiled,bent,closeup</t>
  </si>
  <si>
    <t>https://bdsmstreak.com/video/92822/sara-faye-elyse-and-claire-adams</t>
  </si>
  <si>
    <t>sara faye,elyse, claire adams</t>
  </si>
  <si>
    <t>2f-1f1m,blindfold</t>
  </si>
  <si>
    <t>https://hcbdsm.com/video/109224/sarah-shevon-the-pile-driver/</t>
  </si>
  <si>
    <t>sarah shevon</t>
  </si>
  <si>
    <t>extreme inverted</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</si>
  <si>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</si>
  <si>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</si>
  <si>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</si>
  <si>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</si>
  <si>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</si>
  <si>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</si>
  <si>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</si>
  <si>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</si>
  <si>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</si>
  <si>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</si>
  <si>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</si>
  <si>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nipple suction,bent on wheel,oiled,nipple ropes,nipple rops weights,anal hook in mouth</t>
  </si>
  <si>
    <t>https://bdsmstreak.com/video/89596/sheena-shaw-rough-rider</t>
  </si>
  <si>
    <t>nipple mouse traps,inverted,oiled,nipple clamps weights</t>
  </si>
  <si>
    <t>https://www.kink.com/shoot/6106</t>
  </si>
  <si>
    <t>inflatable plug,caged,nipple clamps</t>
  </si>
  <si>
    <t>https://bdsmstreak.com/video/69769/slutty-anal-nurses</t>
  </si>
  <si>
    <t>amber rayne,dana dearmond</t>
  </si>
  <si>
    <t>https://bdsmstreak.com/video/80742/stella-cox-learns-the-hard-way-not-to-mess-with-a-dommes-money</t>
  </si>
  <si>
    <t>stella cox,ariel x</t>
  </si>
  <si>
    <t>1f-1f,anal hook,inverted pussy over face</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</si>
  <si>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</si>
  <si>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</si>
  <si>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</si>
  <si>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</si>
  <si>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</si>
  <si>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</si>
  <si>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</si>
  <si>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</si>
  <si>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</si>
  <si>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</si>
  <si>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</si>
  <si>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</si>
  <si>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</si>
  <si>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</si>
  <si>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inverted face over pussy</t>
  </si>
  <si>
    <t>https://bdsmstreak.com/video/69208/super-slut</t>
  </si>
  <si>
    <t>https://www.twistedfactory.com/shoot/30448</t>
  </si>
  <si>
    <t>dylan ryan</t>
  </si>
  <si>
    <t>https://bdsmstreak.com/video/74582/tall-long-legged-blond-is-hung-upside-down-made-to-cumchoked-clamped-abused-left-hanging</t>
  </si>
  <si>
    <t>inverted,crotch rope</t>
  </si>
  <si>
    <t>https://hcbdsm.com/video/81829/the-electroslut-next-door/</t>
  </si>
  <si>
    <t>dresden,daisy ducati</t>
  </si>
  <si>
    <t>anal electric probe</t>
  </si>
  <si>
    <t>https://www.twistedfactory.com/shoot/26968</t>
  </si>
  <si>
    <t>lorelei lee, mz berlin</t>
  </si>
  <si>
    <t>https://www.kink.com/shoot/6648</t>
  </si>
  <si>
    <t>madeline marlowe,nicotine</t>
  </si>
  <si>
    <t>1f-1f,enema</t>
  </si>
  <si>
    <t>https://bdsmstreak.com/video/71674/the-intern</t>
  </si>
  <si>
    <t>isis love, daisy ducati</t>
  </si>
  <si>
    <t>https://www.kink.com/shoot/13834</t>
  </si>
  <si>
    <t>lorelei lee, marie mccray, krysta kaos</t>
  </si>
  <si>
    <t>https://bdsmstreak.com/video/93998/the-naive-model-and-the-creepy-photographer</t>
  </si>
  <si>
    <t>dakota skye</t>
  </si>
  <si>
    <t>petite,small</t>
  </si>
  <si>
    <t>https://bdsmstreak.com/video/93587/the-new-bitch</t>
  </si>
  <si>
    <t>https://bdsmstreak.com/video/70025/the-new-bitch</t>
  </si>
  <si>
    <t>https://bdsmstreak.com/video/88715/sex-and-submission-the-night-nurse-dani-daniels</t>
  </si>
  <si>
    <t>spreader bar,sweaty</t>
  </si>
  <si>
    <t>https://bdsmstreak.com/video/94000/the-return-of-darling</t>
  </si>
  <si>
    <t>oiled,bent,nipple mouse traps</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</si>
  <si>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</si>
  <si>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</si>
  <si>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</si>
  <si>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</si>
  <si>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</si>
  <si>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</si>
  <si>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</si>
  <si>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</si>
  <si>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</si>
  <si>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</si>
  <si>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</si>
  <si>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</si>
  <si>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https://bdsmstreak.com/video/25183/odette-delacroix</t>
  </si>
  <si>
    <t>odette delacroix</t>
  </si>
  <si>
    <t>https://hcbdsm.com/video/107222/tiny-blonde-tied-up-and-ass-fucked-in-public2/</t>
  </si>
  <si>
    <t>https://www.eporner.com/video-bBBbPvnEkFe/tiny-casey-calvert-is-inverted-skull-fucked-pussy/</t>
  </si>
  <si>
    <t>casey calvert,dee williams</t>
  </si>
  <si>
    <t>2f-1m,inverted,pretzel</t>
  </si>
  <si>
    <t>https://bdsmstreak.com/video/70073/tiny-sex-kitten-isabella-nice-submits-in-rope-bondage-and-anal-fucking</t>
  </si>
  <si>
    <t>isabella nice</t>
  </si>
  <si>
    <t>https://www.twistedfactory.com/shoot/37110</t>
  </si>
  <si>
    <t>bailey paige</t>
  </si>
  <si>
    <t>pube pull</t>
  </si>
  <si>
    <t>https://bdsmstreak.com/video/89701/tomi-knox-assaults-fuck-doll-kristine-kahill-with-creative-devices-and-sadism</t>
  </si>
  <si>
    <t>kristine kahill</t>
  </si>
  <si>
    <t>inverted,torch in pussy at 24m,anal hook pussy</t>
  </si>
  <si>
    <t>https://bdsmstreak.com/video/76888/tough-as-nails</t>
  </si>
  <si>
    <t>elise graves,donna dolore</t>
  </si>
  <si>
    <t>https://bdsmstreak.com/video/76669/tough-as-nails-cassandra-nix</t>
  </si>
  <si>
    <t>cassandra nix</t>
  </si>
  <si>
    <t>wax,close pussy stick,anal hook</t>
  </si>
  <si>
    <t>https://hcbdsm.com/video/110053/tough-blonde-bombshell-fan-favorite-lorelei-lee-complete-edited-live-show3/</t>
  </si>
  <si>
    <t>https://bdsmstreak.com/video/81358/tracey-sweet</t>
  </si>
  <si>
    <t>https://bdsmstreak.com/video/72136/two-cunts-one-game</t>
  </si>
  <si>
    <t>riley james, lea lexis</t>
  </si>
  <si>
    <t>https://www.kink.com/shoot/7102</t>
  </si>
  <si>
    <t>jade indica,donna dolore,ariel x</t>
  </si>
  <si>
    <t>https://hcbdsm.com/video/19100/bdsm-vendetta/</t>
  </si>
  <si>
    <t>vendetta</t>
  </si>
  <si>
    <t>oiled,bent,nipple clamps</t>
  </si>
  <si>
    <t>https://bdsmstreak.com/video/88424/fucked-and-bound-2014-07-11-vulgar-display-of-power-on-ebony-slut-skin-diamond-tommy-pistol</t>
  </si>
  <si>
    <t>skin diamond</t>
  </si>
  <si>
    <t>https://bdsmstreak.com/video/94014/welcome-sheena-shaw</t>
  </si>
  <si>
    <t>stuck on wall, OG</t>
  </si>
  <si>
    <t>https://www.kink.com/shoot/4937</t>
  </si>
  <si>
    <t>https://bdsmstreak.com/video/80469/wenona-suffers</t>
  </si>
  <si>
    <t>wenona,felony</t>
  </si>
  <si>
    <t>https://bdsmstreak.com/video/93392/wenona-the-sarge</t>
  </si>
  <si>
    <t>2f-1m,live,flog,cage,cane,body clothespin,sybian,metal bondage</t>
  </si>
  <si>
    <t>1f-fmgb,ball gag,body clothespin,spank,water board,public indoors,humiliation</t>
  </si>
  <si>
    <t>1f-1f,live</t>
  </si>
  <si>
    <t>Amber Rayne Returns to Device Bondage</t>
  </si>
  <si>
    <t>main fingering at 19m,</t>
  </si>
  <si>
    <t>Sensual Fuck With Hot Brunette Holly - S9:E17</t>
  </si>
  <si>
    <t>New Recruit: Crew Member Electro Fucked and Tormented</t>
  </si>
  <si>
    <t>taser at 12m,wire in ass at 20m</t>
  </si>
  <si>
    <t>sit,spread eagle,lay down,face down ass up</t>
  </si>
  <si>
    <t>electric,fingering,flog,pussy eat,cane,probe</t>
  </si>
  <si>
    <t>Girl next door, severely bound and helpless Stripped, elbows bound, legs split, multi-orgasms!</t>
  </si>
  <si>
    <t>split vertical</t>
  </si>
  <si>
    <t>undress at 3m</t>
  </si>
  <si>
    <t>1f-1f1m,panty gag,flog,pussy flog,vibrator</t>
  </si>
  <si>
    <t>tunnel gag,closeup,oiled</t>
  </si>
  <si>
    <t>oiled with spray</t>
  </si>
  <si>
    <t>SEXUALLY BROKEN - Annie Cruz Trapped in a Piledriver</t>
  </si>
  <si>
    <t>Body Language - S9:E17</t>
  </si>
  <si>
    <t>undress at 1m,piv at 1m,</t>
  </si>
  <si>
    <t>bj,titjob,cum,pussy eat</t>
  </si>
  <si>
    <t>doggy,cowgirl,69</t>
  </si>
  <si>
    <t>Hogtied: The most beautiful girls on the planet, suffering and cumming</t>
  </si>
  <si>
    <t>19yr old fashion &amp; fitness model made to cum so hard she can't even beg for mercy. Totally destroyed</t>
  </si>
  <si>
    <t>Claire Dames and Wenona There is something you don't see everyday</t>
  </si>
  <si>
    <t>pretzel</t>
  </si>
  <si>
    <t>face lock pussy,face dildo,flog,tit flog,nipple clamps</t>
  </si>
  <si>
    <t xml:space="preserve">Ass hooked, caned &amp; made to cum so much she begs for mercy Humiliated and used, so helpless! </t>
  </si>
  <si>
    <t>stand face down</t>
  </si>
  <si>
    <t>anal hook while facing away down</t>
  </si>
  <si>
    <t>anal hook,cane,nipple clamps weights,fingering</t>
  </si>
  <si>
    <t>Anal Audition: Skylar sweats through a hot soapy enema</t>
  </si>
  <si>
    <t>enema,vibrator</t>
  </si>
  <si>
    <t>lay down,ass up face down</t>
  </si>
  <si>
    <t xml:space="preserve">Long legs, and huge nipples, suffers foot caning, finger fucking 'til squirting. Agony &amp; Ecstasy ! </t>
  </si>
  <si>
    <t>Long legs, and huge nipples, suffers foot caning, finger fucking 'til squirting</t>
  </si>
  <si>
    <t>flog,pussy flog,nipple suction,vibrator,cane,nipple string,anal hook</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</si>
  <si>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</si>
  <si>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</si>
  <si>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</si>
  <si>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</si>
  <si>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</si>
  <si>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</si>
  <si>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 xml:space="preserve">Pain slut, destroyed with pleasure. Massive orgasm overload totally implodes this whore's brain. </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</si>
  <si>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</si>
  <si>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</si>
  <si>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</si>
  <si>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</si>
  <si>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</si>
  <si>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</si>
  <si>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</si>
  <si>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</si>
  <si>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</si>
  <si>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</si>
  <si>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</si>
  <si>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</si>
  <si>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</si>
  <si>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</si>
  <si>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</si>
  <si>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</si>
  <si>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</si>
  <si>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</si>
  <si>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</si>
  <si>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</si>
  <si>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</si>
  <si>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</si>
  <si>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 xml:space="preserve">Looking for Trouble Lily LaBeau Endures Extreme Bondage, savage Foot Torment, and Screaming Orgasms!! </t>
  </si>
  <si>
    <t>Tiny Slut, Big Pain!!</t>
  </si>
  <si>
    <t xml:space="preserve">March Madness - Extreme Bondage, Orgasm Overload, merciless Torment, Hair Suspension! </t>
  </si>
  <si>
    <t>Bent</t>
  </si>
  <si>
    <t>Electrical Interrogation</t>
  </si>
  <si>
    <t>Screaming Through the Pain</t>
  </si>
  <si>
    <t>Helpless Whore Devastated by Extreme Bondage</t>
  </si>
  <si>
    <t xml:space="preserve">The Gentle Approach to Heavy Ass Fucking! </t>
  </si>
  <si>
    <t xml:space="preserve">Ariel X, Annie Cruz Part 1 of 4 of the March Live Feed </t>
  </si>
  <si>
    <t>Madison Young and Sandra Romain</t>
  </si>
  <si>
    <t>Her Body, Her Pain!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</si>
  <si>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</si>
  <si>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</si>
  <si>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</si>
  <si>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</si>
  <si>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</si>
  <si>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</si>
  <si>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</si>
  <si>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</si>
  <si>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</si>
  <si>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</si>
  <si>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</si>
  <si>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</si>
  <si>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</si>
  <si>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</si>
  <si>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</si>
  <si>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</si>
  <si>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</si>
  <si>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</si>
  <si>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Felony Bound in Cruel Latex, Metal and Leather Bondage!</t>
  </si>
  <si>
    <t xml:space="preserve">Clean and clear </t>
  </si>
  <si>
    <t xml:space="preserve">Felony cleaned out &amp; anally splayed open </t>
  </si>
  <si>
    <t>Mediaval Chambers</t>
  </si>
  <si>
    <t xml:space="preserve">No Safe Word </t>
  </si>
  <si>
    <t>Cassandra Nix, Lana S, Diana Stewart, Jenna Rose, Ashley Brooke</t>
  </si>
  <si>
    <t>Dominatrix 6 – No Safe Word</t>
  </si>
  <si>
    <t>My StepMother is a Secret Sex Slave</t>
  </si>
  <si>
    <t>My Step-Mother is a Secret Sex Slave</t>
  </si>
  <si>
    <t>WIRED PUSSY - Nineteen Year Old Beauty (Princess Donna Dolore, Lily LaBeau)</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</si>
  <si>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</si>
  <si>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</si>
  <si>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</si>
  <si>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</si>
  <si>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</si>
  <si>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</si>
  <si>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</si>
  <si>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</si>
  <si>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</si>
  <si>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08.04.04 5181 Daisy Marie, Aiden Starr (Daisy's Promotion)</t>
  </si>
  <si>
    <t>Daisy's Promotion</t>
  </si>
  <si>
    <t>Squirt Alert, Device Bondage</t>
  </si>
  <si>
    <t>Squirt Alert! From the ass that keeps on taking</t>
  </si>
  <si>
    <t xml:space="preserve">Bondage Fetish - Kaitlyn Katsaros </t>
  </si>
  <si>
    <t>Gratuitous Torment</t>
  </si>
  <si>
    <t>WhippedAss - A Double Debut - Leah Gotti, Madelynn May</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</si>
  <si>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</si>
  <si>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</si>
  <si>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</si>
  <si>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</si>
  <si>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</si>
  <si>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</si>
  <si>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</si>
  <si>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</si>
  <si>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</si>
  <si>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</si>
  <si>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</si>
  <si>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</si>
  <si>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</si>
  <si>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</si>
  <si>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</si>
  <si>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</si>
  <si>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</si>
  <si>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</si>
  <si>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</si>
  <si>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</si>
  <si>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QUEENSNAKE Long March - Jessica - Jessica, Tanita</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</si>
  <si>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</si>
  <si>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</si>
  <si>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</si>
  <si>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</si>
  <si>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</si>
  <si>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</si>
  <si>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</si>
  <si>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</si>
  <si>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</si>
  <si>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</si>
  <si>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</si>
  <si>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</si>
  <si>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</si>
  <si>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1f-1f,shocking cane at 8m,tit pull and slap at 10m, panties in mouth at 10m,oil at 18m,electric steel plug and hook at 19m,nipple sticks at 42m</t>
  </si>
  <si>
    <t>DEVICE BONDAGE Amber Rayne</t>
  </si>
  <si>
    <t xml:space="preserve">Ash and Allie </t>
  </si>
  <si>
    <t>ash hollywood,allie james</t>
  </si>
  <si>
    <t>Allie James, Ash Hollywood in Rocco's Perfect Slaves 4</t>
  </si>
  <si>
    <t>FLOOD: Submissive Women Bound in Metal and Made to Squirt</t>
  </si>
  <si>
    <t>https://bdsmmansion.com/video/15258/flood-submissive-women-bound-in-metal-and-made-to-squirt/</t>
  </si>
  <si>
    <t>bonnie rotten, daisy ducati, roxanne rae, janice griffith, lilly lit, ashley lane</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</si>
  <si>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</si>
  <si>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</si>
  <si>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</si>
  <si>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</si>
  <si>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</si>
  <si>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</si>
  <si>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</si>
  <si>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</si>
  <si>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 xml:space="preserve">Piper Perri Endures Outdoor Bondage, Domination &amp; Rough Sex for Help </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</si>
  <si>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</si>
  <si>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</si>
  <si>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</si>
  <si>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</si>
  <si>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</si>
  <si>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</si>
  <si>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</si>
  <si>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</si>
  <si>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</si>
  <si>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</si>
  <si>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</si>
  <si>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</si>
  <si>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</si>
  <si>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</si>
  <si>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</si>
  <si>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</si>
  <si>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</si>
  <si>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</si>
  <si>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</si>
  <si>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</si>
  <si>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</si>
  <si>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</si>
  <si>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</si>
  <si>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</si>
  <si>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</si>
  <si>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</si>
  <si>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</si>
  <si>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</si>
  <si>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</si>
  <si>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</si>
  <si>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</si>
  <si>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</si>
  <si>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</si>
  <si>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1f-1f,ball gag,cane,flog,spank,spike wheel,nipple suction,panty gag,cunnilingus,electric</t>
  </si>
  <si>
    <t>Tough Anna Bell Peaks and Adria Rae - kink video - The Lesbian Experience</t>
  </si>
  <si>
    <t>https://ok.porn/video/122346/</t>
  </si>
  <si>
    <t>ZIPPED</t>
  </si>
  <si>
    <t xml:space="preserve">Chastity, gloves and condoms. How many until he doesn't feel anything? </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</si>
  <si>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</si>
  <si>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</si>
  <si>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</si>
  <si>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</si>
  <si>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</si>
  <si>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</si>
  <si>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</si>
  <si>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</si>
  <si>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</si>
  <si>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</si>
  <si>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</si>
  <si>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</si>
  <si>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</si>
  <si>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</si>
  <si>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</si>
  <si>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</si>
  <si>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</si>
  <si>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First Timer in Extreme Bondage with Brutal Tormented, and Made to Cum</t>
  </si>
  <si>
    <t xml:space="preserve">First Timer in Extreme Bondage with savage Tormented, and Made to Cum </t>
  </si>
  <si>
    <t>Jade Indica gets Spanked and Shocked in hot Lesbian BDSM Scene</t>
  </si>
  <si>
    <t>https://bdsmstreak.com/video/74140/jade-indica-gets-spanked-and-shocked-in-hot-lesbian-bdsm-scene</t>
  </si>
  <si>
    <t xml:space="preserve">Jade Indica gets Spanked and Shocked in hot Lesbian BDSM Scene </t>
  </si>
  <si>
    <t>Wenona, Jessie Cox, and Isis Love Part 1 of 4 of the March Live Show.</t>
  </si>
  <si>
    <t xml:space="preserve">Wenona, Jessie Cox, and Isis Love Part 1 of 4 of the March Live Show. </t>
  </si>
  <si>
    <t>2f-2m,live,pussy eat,nipple clamps,nipple suction,ball gag,flog,nipple string</t>
  </si>
  <si>
    <t>Oops, she did it again: Prostate Milking</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</si>
  <si>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</si>
  <si>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</si>
  <si>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</si>
  <si>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</si>
  <si>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</si>
  <si>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</si>
  <si>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</si>
  <si>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</si>
  <si>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</si>
  <si>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</si>
  <si>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Masochistic Pain Slut in Bondage, Tormented, and Used for Her Holes</t>
  </si>
  <si>
    <t>Sensi Pearl on WiredPussy</t>
  </si>
  <si>
    <t>Sexy Sensi learns to love electro</t>
  </si>
  <si>
    <t>1f-1f, pussy shock,flog,nipple clamps,electric,blindfold,strapon,spreader bar</t>
  </si>
  <si>
    <t>Bondage Slut</t>
  </si>
  <si>
    <t>Hogtied - Katrina Colt</t>
  </si>
  <si>
    <t>Return of the Pain Slut: Katrina Colt</t>
  </si>
  <si>
    <t>https://bdsmstreak.com/video/95413/return-of-the-pain-slut-katrina-colt</t>
  </si>
  <si>
    <t>stand,suspended,lay down,ass up face down</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</si>
  <si>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</si>
  <si>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</si>
  <si>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</si>
  <si>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</si>
  <si>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</si>
  <si>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</si>
  <si>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</si>
  <si>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</si>
  <si>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</si>
  <si>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tit bite,flog ,blowjob,oiled,nipple clamps,piv,foot in pussy</t>
  </si>
  <si>
    <t>strip at 6m,tit flog at 6m,oiled at 15m,foot in pussy at 35m</t>
  </si>
  <si>
    <t xml:space="preserve">The Sadist's Apprentice </t>
  </si>
  <si>
    <t>The Sadist's Apprentice</t>
  </si>
  <si>
    <t>Jessie Cox, Ami Emerson, and Isis Love Part 1 of 4 of the September Live Feed</t>
  </si>
  <si>
    <t xml:space="preserve">Jessie Cox, Ami Emerson, and Isis Love Part 1 of 4 of the September Live Feed </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</si>
  <si>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</si>
  <si>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</si>
  <si>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</si>
  <si>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</si>
  <si>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</si>
  <si>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</si>
  <si>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</si>
  <si>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</si>
  <si>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sexy oiled rocks on body,girl wearing a white crop top, blonde short hair and black long single braid hair</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</si>
  <si>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</si>
  <si>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</si>
  <si>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</si>
  <si>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</si>
  <si>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</si>
  <si>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</si>
  <si>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</si>
  <si>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</si>
  <si>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https://www.xporn.tv/videos/311560/whole-foot-into-her-ass-siswet/</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</si>
  <si>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</si>
  <si>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</si>
  <si>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</si>
  <si>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</si>
  <si>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</si>
  <si>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</si>
  <si>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</si>
  <si>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</si>
  <si>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</si>
  <si>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</si>
  <si>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</si>
  <si>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</si>
  <si>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</si>
  <si>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</si>
  <si>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</si>
  <si>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</si>
  <si>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Sweet Yhivi is Decimated in merciless Bondage, Torment, and Screaming Orgasms!</t>
  </si>
  <si>
    <t>baylee lee</t>
  </si>
  <si>
    <t>orgasms. Then vibrated to multiple, back and forth, no mercy!</t>
  </si>
  <si>
    <t>Hot Asian is finger banged to multiple orgasms. Then vibrated to multiple, back and forth, no mercy!</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</si>
  <si>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</si>
  <si>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</si>
  <si>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</si>
  <si>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</si>
  <si>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</si>
  <si>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</si>
  <si>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</si>
  <si>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</si>
  <si>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</si>
  <si>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</si>
  <si>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Tara Lynn Fox, Mellanie Monroe, and Isis Love Part 3 of 4 of the December Live Show</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</si>
  <si>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</si>
  <si>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</si>
  <si>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</si>
  <si>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</si>
  <si>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</si>
  <si>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</si>
  <si>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</si>
  <si>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</si>
  <si>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</si>
  <si>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1f-1f,massage,oiled,vibrator,blindfold,strapon,chain,pussy eat,butt plug,nipple clamps</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</si>
  <si>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</si>
  <si>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</si>
  <si>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</si>
  <si>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</si>
  <si>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</si>
  <si>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</si>
  <si>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</si>
  <si>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</si>
  <si>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</si>
  <si>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</si>
  <si>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</si>
  <si>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</si>
  <si>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</si>
  <si>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</si>
  <si>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</si>
  <si>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</si>
  <si>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</si>
  <si>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</si>
  <si>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</si>
  <si>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</si>
  <si>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</si>
  <si>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</si>
  <si>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</si>
  <si>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</si>
  <si>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</si>
  <si>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</si>
  <si>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</si>
  <si>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</si>
  <si>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</si>
  <si>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</si>
  <si>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</si>
  <si>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</si>
  <si>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</si>
  <si>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</si>
  <si>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</si>
  <si>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</si>
  <si>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</si>
  <si>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</si>
  <si>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</si>
  <si>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</si>
  <si>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</si>
  <si>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</si>
  <si>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</si>
  <si>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</si>
  <si>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2f-1m,tiny</t>
  </si>
  <si>
    <t>DungeonCorp - Katie Kush - Bondage Freak 1</t>
  </si>
  <si>
    <t>DungeonCorp - Sabrina Banks - Introducing His Demons 3</t>
  </si>
  <si>
    <t>DungeonCorp - L.A. Noir 3</t>
  </si>
  <si>
    <t>GRAIAS The Terminator, The Groovy And The Faithful Slave 04</t>
  </si>
  <si>
    <t>The Terminator, the Groovy and the Faithful Slave - part 2 - Cruel Challenge II</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</si>
  <si>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</si>
  <si>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</si>
  <si>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</si>
  <si>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</si>
  <si>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</si>
  <si>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</si>
  <si>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</si>
  <si>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Humiliation, BDSM, Torture, Whipping Brooke Johnson. Brooke Report HardTied.com</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</si>
  <si>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</si>
  <si>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</si>
  <si>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</si>
  <si>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</si>
  <si>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Odette Delacroix</t>
  </si>
  <si>
    <t>sexuallybroken.com - Tiny blonde Odette Delacroix bound inside a box and roughly fucked from both ends by cock! - Odette Delacroix | Matt Williams | Jack Hammer</t>
  </si>
  <si>
    <t xml:space="preserve">Tiny Casey Calvert Is Inverted, Skull Fucked Pussy </t>
  </si>
  <si>
    <t>sexuallybroken.com - Tiny Casey Calvert is inverted, skull fucked pussy fucked nipple tortured &amp; squirts like a fountain - Casey Calvert | Matt Williams</t>
  </si>
  <si>
    <t>SEXUALLY BROKEN - Penny Lay, Jessie Dean - Stock Fucked</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</si>
  <si>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</si>
  <si>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</si>
  <si>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</si>
  <si>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</si>
  <si>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</si>
  <si>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</si>
  <si>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</si>
  <si>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</si>
  <si>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</si>
  <si>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</si>
  <si>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</si>
  <si>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</si>
  <si>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Hand, Prosthetic, Machine - There's more than one way to fuck a slut</t>
  </si>
  <si>
    <t>Alexis Tae: Exploring The Dark Side of Porn</t>
  </si>
  <si>
    <t>https://hcbdsm.com/video/99989/alexis-tae-exploring-the-dark-side-of-porn6/</t>
  </si>
  <si>
    <t>Super Slut</t>
  </si>
  <si>
    <t>alexis tae</t>
  </si>
  <si>
    <t>tiny,flog,small tits,pussy flog,vibrator,cane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</si>
  <si>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</si>
  <si>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</si>
  <si>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</si>
  <si>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</si>
  <si>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</si>
  <si>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</si>
  <si>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</si>
  <si>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</si>
  <si>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Happy Birthday, Felony!</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</si>
  <si>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</si>
  <si>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</si>
  <si>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</si>
  <si>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</si>
  <si>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</si>
  <si>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</si>
  <si>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</si>
  <si>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</si>
  <si>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</si>
  <si>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</si>
  <si>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</si>
  <si>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</si>
  <si>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</si>
  <si>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</si>
  <si>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</si>
  <si>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</si>
  <si>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</si>
  <si>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</si>
  <si>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1f-1f,spit,vibrator,armpits,cunnilingus,fingering,nipple bite,strapon,leash,sybian</t>
  </si>
  <si>
    <t>Dominates Over Aidra Foxs Pussy - Katrina Jade</t>
  </si>
  <si>
    <t>https://f1.upornia.online/videos/4226269/dominates-over-aidra-foxs-pussy-katrina-jade/?promo=16271</t>
  </si>
  <si>
    <t>QUEENSNAKE Trampling - Holly - QS, Holly</t>
  </si>
  <si>
    <t>TRAMPLING - HOLLY</t>
  </si>
  <si>
    <t>Toilet brush cunt scrubbing? With Queensnake's sexual history, maybe not such a bad idea</t>
  </si>
  <si>
    <t>TOILET BRUSH - NAZRYANA</t>
  </si>
  <si>
    <t>queensnake,nazryana</t>
  </si>
  <si>
    <t>1f-1f,toilet brush</t>
  </si>
  <si>
    <t>INSEX - Ridin' (Live Feed From July) (Wenona, Az)</t>
  </si>
  <si>
    <t>Insex - 20051012 - Ridin' (Live Feed From July)</t>
  </si>
  <si>
    <t xml:space="preserve">Cherry Torn's DirtyTalking Anal Lesbian Slut </t>
  </si>
  <si>
    <t>Cherry Torn's Dirty-Talking Anal Lesbian Slut</t>
  </si>
  <si>
    <t>Chanta'sbitches - New Pet Lorelei Lee, Mason Moore</t>
  </si>
  <si>
    <t xml:space="preserve">Lorelei's New Pet </t>
  </si>
  <si>
    <t>1f-fgb</t>
  </si>
  <si>
    <t>Dyke Bar 3: Abella Danger fisted, DP'd and dominated by wild lesbians!</t>
  </si>
  <si>
    <t>Abella Danger: Fisted, DP'd and Dominated by Wild Dyke Bar Lesbians!</t>
  </si>
  <si>
    <t>Alicia Stone, Sienna, and Isis Love Part 2 of 4 of the February Live Show</t>
  </si>
  <si>
    <t>Vendetta and Claire Adams</t>
  </si>
  <si>
    <t>Claire Adams vs. Vendetta</t>
  </si>
  <si>
    <t>Ashley Jane, Ally Ann, and Princess Donna Part 1 of 4 of the November Live show</t>
  </si>
  <si>
    <t>one of the OG,live</t>
  </si>
  <si>
    <t>One girl is stretched to the limit of her body The other takes the cane and takes it hard!</t>
  </si>
  <si>
    <t>nipple rub at 0m</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</si>
  <si>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</si>
  <si>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</si>
  <si>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</si>
  <si>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</si>
  <si>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</si>
  <si>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</si>
  <si>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</si>
  <si>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</si>
  <si>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Jade Marxxx Live, Part 1</t>
  </si>
  <si>
    <t xml:space="preserve">Nikki Darling &amp; Katharine Cane Complete Edited Live Show </t>
  </si>
  <si>
    <t>Nikki Darling &amp; Katharine Cane - Complete Edited Live Show</t>
  </si>
  <si>
    <t>Fragments VIII</t>
  </si>
  <si>
    <t>Mia Lelani Big Titted Cunt Tormented Complete Edited Live Show</t>
  </si>
  <si>
    <t>2f-2f</t>
  </si>
  <si>
    <t>grey wax tits</t>
  </si>
  <si>
    <t xml:space="preserve">Beretta James Live Show Complete Edited Version </t>
  </si>
  <si>
    <t>Newcomer Loses Her Innocence</t>
  </si>
  <si>
    <t>OMEGA fucks another tiny brunette into sub space!</t>
  </si>
  <si>
    <t>Sarah Shevon The Pile Driver</t>
  </si>
  <si>
    <t>Bound by metal, covered in wax, fucked by machine</t>
  </si>
  <si>
    <t>white wax in metal bondage</t>
  </si>
  <si>
    <t>Machine fucked with zipper inducing orgasms</t>
  </si>
  <si>
    <t>Miss Kitty</t>
  </si>
  <si>
    <t>One BadAss Bitch Mona Wales</t>
  </si>
  <si>
    <t>One BadAss Bitch - Mona Wales</t>
  </si>
  <si>
    <t>Hot Blond, is caned, ass fucked &amp; made to cum over and over4 DOM's brutally work the whore over</t>
  </si>
  <si>
    <t>Hot Blond, is caned, ass fucked &amp; made to cum over and over 4 DOM's ruthlessly work the whore over</t>
  </si>
  <si>
    <t>Jade Indica Oiled, fucked, bound and tortured.Countdown to Relaunch 5 of 20</t>
  </si>
  <si>
    <t>Jade Indica Oiled, fucked, bound and tormented. Countdown to Relaunch - 5 of 20</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</si>
  <si>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</si>
  <si>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</si>
  <si>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</si>
  <si>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</si>
  <si>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</si>
  <si>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</si>
  <si>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</si>
  <si>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</si>
  <si>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</si>
  <si>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</si>
  <si>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</si>
  <si>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Behave, Or The Fist Goes Elbow Deep</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</si>
  <si>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</si>
  <si>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</si>
  <si>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</si>
  <si>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</si>
  <si>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</si>
  <si>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</si>
  <si>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</si>
  <si>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</si>
  <si>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</si>
  <si>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</si>
  <si>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Super cute blond is tormented, cloths pins on her body are ripped off, made to cum over and over!!</t>
  </si>
  <si>
    <t>Cute red head plucked off the street hung upside down and double penetrated!</t>
  </si>
  <si>
    <t>1f-3f</t>
  </si>
  <si>
    <t>Petite Bondage Slut: Sensi Pearl</t>
  </si>
  <si>
    <t>Blonde Bombshell bound, spanked and anally fisted!</t>
  </si>
  <si>
    <t>Whipped Ass - Alexa Von Tess And Sandra Romain</t>
  </si>
  <si>
    <t>Alexa Von Tess and Sandra Romain</t>
  </si>
  <si>
    <t xml:space="preserve">1 Blonde, 1 Brunette, 1 Redhead = Hot Lesbian Punishment and Sex! </t>
  </si>
  <si>
    <t>1 Blonde, 1 Brunette, 1 Redhead = Hot Lesbian Punishment and Sex!</t>
  </si>
  <si>
    <t>First Kinky Lesbian Experience</t>
  </si>
  <si>
    <t>Office Take Down</t>
  </si>
  <si>
    <t>Popping her lesbian cherry!</t>
  </si>
  <si>
    <t>Marie McCray</t>
  </si>
  <si>
    <t>Brunettes Have More Fun: "Sweet Revenge"</t>
  </si>
  <si>
    <t>Chanel Preston's Hot New Play Thing</t>
  </si>
  <si>
    <t>Bobbi Starr, Felony (A Few Of Felony's Favorite Things)</t>
  </si>
  <si>
    <t>Lorelei Lee, Remy LaCroix (Popping her lesbian cherry!)</t>
  </si>
  <si>
    <t>Aiden Starr, Marie McCray (Marie McCray)</t>
  </si>
  <si>
    <t>A Few Of Felony's Favorite Things</t>
  </si>
  <si>
    <t>Destroying The Homecoming Queen</t>
  </si>
  <si>
    <t>Lesbian Femdom Role Switch Leaves Both Women Begging For More</t>
  </si>
  <si>
    <t xml:space="preserve">Lesbian Femdom Role Switch Leaves Both Women Begging For More </t>
  </si>
  <si>
    <t>Wenona, Maitresse Madeline Marlowe, Sasha Lexing (Ballerina Sluts)</t>
  </si>
  <si>
    <t>Ballerina Sluts</t>
  </si>
  <si>
    <t>Aiden Starr, Naidyne (Adorable 19 year old has a tough first ever lesbian experience on WhippedAss.com!)</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</si>
  <si>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</si>
  <si>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</si>
  <si>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</si>
  <si>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</si>
  <si>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Journalist, Ash Hollywood, learns what is means to be nonbiased through electro motivation!</t>
  </si>
  <si>
    <t>https://hcbdsm.com/video/85950/journalist-ash-hollywood-learns-what-is-means-to-be-nonbiased-through-electro-motivation/</t>
  </si>
  <si>
    <t xml:space="preserve">Journalist, Ash Hollywood, learns what is means to be non-biased through electro motivation! </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</si>
  <si>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</si>
  <si>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</si>
  <si>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</si>
  <si>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</si>
  <si>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</si>
  <si>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</si>
  <si>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</si>
  <si>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</si>
  <si>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</si>
  <si>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</si>
  <si>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</si>
  <si>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</si>
  <si>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</si>
  <si>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</si>
  <si>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</si>
  <si>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</si>
  <si>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</si>
  <si>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</si>
  <si>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Training a Slave to Take it in the Ass, Day Three</t>
  </si>
  <si>
    <t>Lorelei Lee is Bent in Unforgiving Device Bondage</t>
  </si>
  <si>
    <t>Fresh Meat: Rosalyn Sphinx</t>
  </si>
  <si>
    <t>Petite Asian Bondage Virgin, Gets a Dose of Suffering</t>
  </si>
  <si>
    <t>Annie Cruz Bitch in Heat</t>
  </si>
  <si>
    <t>Annie Cruz - Bitch in Heat</t>
  </si>
  <si>
    <t>Damage Me Please!!</t>
  </si>
  <si>
    <t>Mason, Winter Sky and Christina Carter Part 1 of 4 of the July Live Feed</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</si>
  <si>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</si>
  <si>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</si>
  <si>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</si>
  <si>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</si>
  <si>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</si>
  <si>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</si>
  <si>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</si>
  <si>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</si>
  <si>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</si>
  <si>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</si>
  <si>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</si>
  <si>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</si>
  <si>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</si>
  <si>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</si>
  <si>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</si>
  <si>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</si>
  <si>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</si>
  <si>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</si>
  <si>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</si>
  <si>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</si>
  <si>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</si>
  <si>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</si>
  <si>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</si>
  <si>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</si>
  <si>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Kelly Divine: Stretched, Fucked, Flogged, and Squirting Everywhere; Rosebud Exposed!!</t>
  </si>
  <si>
    <t>**Kelly Divine: Stretched, Fucked, Flogged, and Squirting Everywhere; Rosebud Exposed!!**</t>
  </si>
  <si>
    <t>Pushing Her Buttons</t>
  </si>
  <si>
    <t>Red Hair Fair Skin finger fucked, machine fucked, extreme nipple play, hot wax, hard caning.</t>
  </si>
  <si>
    <t>Red Hair Fair Skin - finger fucked, machine fucked, extreme nipple play, hot wax, hard caning.</t>
  </si>
  <si>
    <t>The Return of Darling</t>
  </si>
  <si>
    <t>Double Teamed Extreme Bondage,Brutal Suffering, and Squirting Orgasms</t>
  </si>
  <si>
    <t>Double Teamed-Extreme Bondage,merciless Suffering, and Squirting Orgasms</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</si>
  <si>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</si>
  <si>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</si>
  <si>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</si>
  <si>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</si>
  <si>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</si>
  <si>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</si>
  <si>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</si>
  <si>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hose pussy,wax on ass,oiled,anal hook</t>
  </si>
  <si>
    <t>text</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</si>
  <si>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</si>
  <si>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</si>
  <si>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</si>
  <si>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</si>
  <si>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</si>
  <si>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</si>
  <si>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</si>
  <si>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</si>
  <si>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Sara Faye, Elyse and Claire Adams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</si>
  <si>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</si>
  <si>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</si>
  <si>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</si>
  <si>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</si>
  <si>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</si>
  <si>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Casey Calvert: Bondage, Torment, and Sexual Servitude</t>
  </si>
  <si>
    <t>Fucked and bound [2014-01-17]Cute Young Blonde Overwhelmed with Bondage and Cock(Elyssa Greene, Mickey Mod)</t>
  </si>
  <si>
    <t>Cute Young Blonde Overwhelmed with Bondage and Cock</t>
  </si>
  <si>
    <t>Fucked and bound [2014-04-04]Newbie gets brutally fucked in tight bondage(Derrick Pierce, Sophia Locke)</t>
  </si>
  <si>
    <t>Newbie gets savagely fucked in tight bondage</t>
  </si>
  <si>
    <t xml:space="preserve">Fucked and bound [2014-07-11]Vulgar Display of Power on Ebony Slut(Skin Diamond, Tommy Pistol) </t>
  </si>
  <si>
    <t>Vulgar Display of Power</t>
  </si>
  <si>
    <t>BDSM - Vendetta</t>
  </si>
  <si>
    <t>Vendetta vs. The Machines</t>
  </si>
  <si>
    <t>Sexy brunette experiences nipple torture, brutal crotch rope and extreme bondage.</t>
  </si>
  <si>
    <t>Sexy brunette experiences nipple torment, ruthless crotch rope and extreme bondage.</t>
  </si>
  <si>
    <t>Madison Scott is Bound in a Traditional Japanese torment PositionMake to Cum and Squirt.</t>
  </si>
  <si>
    <t>Madison Scott is Bound in a Traditional Japanese Torment Position Make to Cum and Squirt.</t>
  </si>
  <si>
    <t>Tall long legged blond is hung upside down, made to cumChoked, clamped &amp; abused, left hanging..</t>
  </si>
  <si>
    <t>Tall long legged blond is hung upside down, made to cum Choked, clamped &amp; tormented, left hanging..</t>
  </si>
  <si>
    <t>Amber Rayne Live Show Part 2 Drawn and Quartered</t>
  </si>
  <si>
    <t>Amber Rayne Live Show Part 2 - Drawn and Quartered</t>
  </si>
  <si>
    <t>bent,oiled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</si>
  <si>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</si>
  <si>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</si>
  <si>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</si>
  <si>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</si>
  <si>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</si>
  <si>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</si>
  <si>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</si>
  <si>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</si>
  <si>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</si>
  <si>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small tits,tiny</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</si>
  <si>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</si>
  <si>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</si>
  <si>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</si>
  <si>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</si>
  <si>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</si>
  <si>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Big Tits, Brutal Bondage, Extreme Corporal Punishment, and Squirting Orgasms!!!</t>
  </si>
  <si>
    <t>Big Tits, ruthless Bondage, Extreme Corporal Punishment, and Squirting Orgasms!!!</t>
  </si>
  <si>
    <t>Harmony Wonder: 19 Year Old Tormented and Cums in Grueling Bondage</t>
  </si>
  <si>
    <t>Dani Daniels in Brutal Bondage, Tormented, and Made to Cum Uncontrollably</t>
  </si>
  <si>
    <t>Dani Daniels in merciless Bondage, Tormented, and Made to Cum Uncontrollably.</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</si>
  <si>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</si>
  <si>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</si>
  <si>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</si>
  <si>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</si>
  <si>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</si>
  <si>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</si>
  <si>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</si>
  <si>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</si>
  <si>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</si>
  <si>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</si>
  <si>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Ariel X Extreme Bondage, Brutal Torment, and Squirting Orgasms!!!</t>
  </si>
  <si>
    <t>Ariel X - Extreme Bondage, savage Torment, and Squirting Orgasms!!!</t>
  </si>
  <si>
    <t>oiled,nipple sticks,anal hook</t>
  </si>
  <si>
    <t>Felony Amazing MILF Squirter</t>
  </si>
  <si>
    <t>Felony - Amazing MILF Squirter</t>
  </si>
  <si>
    <t>Extreme bondage, brutal torment, and intense orgasm denial</t>
  </si>
  <si>
    <t>Extreme bondage, ruthless torment, and intense orgasm denial.</t>
  </si>
  <si>
    <t>Blonde fuck slut squeals and begs to cum.</t>
  </si>
  <si>
    <t>Bitch Bound In Bag &amp; Extreme Spread Eagle Special!</t>
  </si>
  <si>
    <t>Cyd Black and Amber Rayne</t>
  </si>
  <si>
    <t>One Tough Bitch: Holly Heart and Maestro</t>
  </si>
  <si>
    <t>amber rayne,cyd black</t>
  </si>
  <si>
    <t>oiled,inverted pussy over face, anal hook</t>
  </si>
  <si>
    <t>All Natural Beauty in Pile Driver Orgasm Overload</t>
  </si>
  <si>
    <t>DyNaMiTe Katie Summers Brings It LIVE</t>
  </si>
  <si>
    <t>DyNaMiTe - Katie Summers Brings It - LIVE</t>
  </si>
  <si>
    <t>oiled,bent,OG,stick thru nipple clamps</t>
  </si>
  <si>
    <t>Blonde with Big Natural Breasts RODE HARD!</t>
  </si>
  <si>
    <t>Cherry Torn: Blonde with Big Natural Breasts RODE HARD!</t>
  </si>
  <si>
    <t>Busty California Blonde Courtney Gets Bent, Fucked &amp; Challenged!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</si>
  <si>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</si>
  <si>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</si>
  <si>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</si>
  <si>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</si>
  <si>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</si>
  <si>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</si>
  <si>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</si>
  <si>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</si>
  <si>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</si>
  <si>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</si>
  <si>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Jodi Taylor: Eager slut elaborately bound, caned, zapped and fucked!</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</si>
  <si>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</si>
  <si>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</si>
  <si>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</si>
  <si>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</si>
  <si>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</si>
  <si>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</si>
  <si>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</si>
  <si>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</si>
  <si>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</si>
  <si>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</si>
  <si>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</si>
  <si>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</si>
  <si>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</si>
  <si>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</si>
  <si>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</si>
  <si>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</si>
  <si>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</si>
  <si>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</si>
  <si>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</si>
  <si>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2f-1m,small tits,tiny</t>
  </si>
  <si>
    <t>SEX AND SUBMISSION - Obedient Girl Sensi Pearl</t>
  </si>
  <si>
    <t>step on nexk</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</si>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</sst>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0"/>
      <name val="Calibri Light"/>
      <family val="2"/>
      <scheme val="maj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
      <patternFill patternType="solid">
        <fgColor theme="1"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1">
    <xf numFmtId="0" fontId="0" fillId="0" borderId="0" xfId="0"/>
    <xf numFmtId="0" fontId="0" fillId="6" borderId="1" xfId="0" applyFill="1" applyBorder="1"/>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8" borderId="1" xfId="0" applyFill="1" applyBorder="1"/>
    <xf numFmtId="0" fontId="0" fillId="9" borderId="1" xfId="0" applyFill="1" applyBorder="1"/>
    <xf numFmtId="0" fontId="0" fillId="2" borderId="1" xfId="0" applyFill="1" applyBorder="1"/>
    <xf numFmtId="0" fontId="0" fillId="8" borderId="6" xfId="0" applyFill="1" applyBorder="1"/>
    <xf numFmtId="0" fontId="0" fillId="2" borderId="6" xfId="0" applyFill="1" applyBorder="1"/>
    <xf numFmtId="0" fontId="0" fillId="5" borderId="7" xfId="0" applyFill="1" applyBorder="1"/>
    <xf numFmtId="0" fontId="0" fillId="10" borderId="1" xfId="0" applyFill="1" applyBorder="1"/>
    <xf numFmtId="0" fontId="0" fillId="11" borderId="1" xfId="0" applyFill="1" applyBorder="1"/>
    <xf numFmtId="0" fontId="0" fillId="9" borderId="4" xfId="0" applyFill="1" applyBorder="1"/>
    <xf numFmtId="0" fontId="0" fillId="2" borderId="4" xfId="0" applyFill="1" applyBorder="1"/>
    <xf numFmtId="0" fontId="0" fillId="2" borderId="8" xfId="0" applyFill="1" applyBorder="1"/>
    <xf numFmtId="0" fontId="0" fillId="10" borderId="4" xfId="0" applyFill="1" applyBorder="1"/>
    <xf numFmtId="0" fontId="0" fillId="11" borderId="4" xfId="0" applyFill="1" applyBorder="1"/>
    <xf numFmtId="0" fontId="0" fillId="0" borderId="0" xfId="0" applyAlignment="1">
      <alignment horizontal="left" vertical="top"/>
    </xf>
    <xf numFmtId="0" fontId="0" fillId="0" borderId="0" xfId="0" applyAlignment="1">
      <alignment horizontal="left" vertical="top" wrapText="1"/>
    </xf>
    <xf numFmtId="0" fontId="0" fillId="7" borderId="1" xfId="0" applyFill="1" applyBorder="1"/>
    <xf numFmtId="0" fontId="3" fillId="0" borderId="0" xfId="0" applyFont="1" applyAlignment="1">
      <alignment vertical="center"/>
    </xf>
    <xf numFmtId="0" fontId="2" fillId="12" borderId="2" xfId="0" applyFont="1" applyFill="1" applyBorder="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cellXfs>
  <cellStyles count="1">
    <cellStyle name="Normal" xfId="0" builtinId="0"/>
  </cellStyles>
  <dxfs count="3">
    <dxf>
      <font>
        <color rgb="FF9C0006"/>
      </font>
      <fill>
        <patternFill>
          <bgColor rgb="FFFFC7CE"/>
        </patternFill>
      </fill>
    </dxf>
    <dxf>
      <fill>
        <patternFill>
          <bgColor theme="1" tint="0.14996795556505021"/>
        </patternFill>
      </fill>
    </dxf>
    <dxf>
      <font>
        <color rgb="FF9C0006"/>
      </font>
      <fill>
        <patternFill>
          <bgColor rgb="FFFFC7CE"/>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V466"/>
  <sheetViews>
    <sheetView tabSelected="1" topLeftCell="E1" zoomScale="70" zoomScaleNormal="70" workbookViewId="0">
      <pane ySplit="1" topLeftCell="A2" activePane="bottomLeft" state="frozen"/>
      <selection pane="bottomLeft" activeCell="M4" sqref="M4"/>
    </sheetView>
  </sheetViews>
  <sheetFormatPr defaultRowHeight="15" x14ac:dyDescent="0.25"/>
  <cols>
    <col min="1" max="1" width="12.85546875" style="28" customWidth="1"/>
    <col min="2" max="2" width="60.5703125" style="28" customWidth="1"/>
    <col min="3" max="3" width="14.7109375" style="28" customWidth="1"/>
    <col min="4" max="4" width="60.5703125" style="28" customWidth="1"/>
    <col min="5" max="5" width="29.5703125" style="28" customWidth="1"/>
    <col min="6" max="6" width="24.140625" style="28" customWidth="1"/>
    <col min="7" max="7" width="20" style="28" customWidth="1"/>
    <col min="8" max="8" width="57.28515625" style="28" customWidth="1"/>
    <col min="9" max="9" width="51" style="28" customWidth="1"/>
    <col min="10" max="11" width="21.5703125" style="28" customWidth="1"/>
    <col min="12" max="12" width="45.28515625" style="28" customWidth="1"/>
    <col min="13" max="13" width="33.5703125" style="28" customWidth="1"/>
    <col min="14" max="14" width="21.5703125" style="28" customWidth="1"/>
    <col min="15" max="15" width="10.5703125" style="28" customWidth="1"/>
    <col min="16" max="16" width="67.85546875" style="28" customWidth="1"/>
    <col min="17" max="17" width="24.28515625" style="28" bestFit="1" customWidth="1"/>
    <col min="18" max="18" width="17" style="28" customWidth="1"/>
    <col min="19" max="19" width="18" style="28" bestFit="1" customWidth="1"/>
    <col min="20" max="20" width="18" style="28" customWidth="1"/>
    <col min="21" max="21" width="32.7109375" style="28" customWidth="1"/>
    <col min="22" max="22" width="14.5703125" style="28" customWidth="1"/>
    <col min="23" max="16384" width="9.140625" style="28"/>
  </cols>
  <sheetData>
    <row r="1" spans="1:22" x14ac:dyDescent="0.25">
      <c r="A1" s="27" t="s">
        <v>239</v>
      </c>
      <c r="B1" s="27" t="s">
        <v>58</v>
      </c>
      <c r="C1" s="27" t="s">
        <v>60</v>
      </c>
      <c r="D1" s="27" t="s">
        <v>2742</v>
      </c>
      <c r="E1" s="27" t="s">
        <v>61</v>
      </c>
      <c r="F1" s="27" t="s">
        <v>320</v>
      </c>
      <c r="G1" s="27" t="s">
        <v>63</v>
      </c>
      <c r="H1" s="27" t="s">
        <v>755</v>
      </c>
      <c r="I1" s="27" t="s">
        <v>756</v>
      </c>
      <c r="J1" s="27" t="s">
        <v>1445</v>
      </c>
      <c r="K1" s="27" t="s">
        <v>1534</v>
      </c>
      <c r="L1" s="27" t="s">
        <v>321</v>
      </c>
      <c r="M1" s="27" t="s">
        <v>322</v>
      </c>
      <c r="N1" s="27" t="s">
        <v>62</v>
      </c>
      <c r="O1" s="27" t="s">
        <v>67</v>
      </c>
      <c r="P1" s="27" t="s">
        <v>66</v>
      </c>
      <c r="Q1" s="27" t="s">
        <v>59</v>
      </c>
      <c r="R1" s="27" t="s">
        <v>754</v>
      </c>
      <c r="S1" s="27" t="s">
        <v>753</v>
      </c>
      <c r="T1" s="27" t="s">
        <v>752</v>
      </c>
      <c r="U1" s="27" t="s">
        <v>768</v>
      </c>
      <c r="V1" s="27" t="s">
        <v>1687</v>
      </c>
    </row>
    <row r="2" spans="1:22" ht="45" x14ac:dyDescent="0.25">
      <c r="A2" s="27" t="str">
        <f>IF(ISBLANK(N2)=TRUE,"Pending","Done")</f>
        <v>Done</v>
      </c>
      <c r="B2" s="27" t="s">
        <v>2743</v>
      </c>
      <c r="C2" s="27">
        <v>58</v>
      </c>
      <c r="D2" s="27" t="str">
        <f>SUBSTITUTE(TRIM(RIGHT(SUBSTITUTE(IF(RIGHT(B2,1)="/",LEFT(B2,LEN(B2)-1),B2),"/",REPT(" ",LEN(B2))),LEN(B2))),"-"," ")</f>
        <v>hogtied hogtie suspension domination and use</v>
      </c>
      <c r="E2" s="27" t="s">
        <v>849</v>
      </c>
      <c r="F2" s="27" t="s">
        <v>760</v>
      </c>
      <c r="G2" s="27" t="s">
        <v>70</v>
      </c>
      <c r="H2" s="27" t="s">
        <v>762</v>
      </c>
      <c r="I2" s="27" t="s">
        <v>761</v>
      </c>
      <c r="J2" s="27" t="s">
        <v>1750</v>
      </c>
      <c r="K2" s="27" t="s">
        <v>1750</v>
      </c>
      <c r="L2" s="27" t="s">
        <v>825</v>
      </c>
      <c r="M2" s="27" t="s">
        <v>824</v>
      </c>
      <c r="N2" s="27" t="s">
        <v>65</v>
      </c>
      <c r="O2" s="27">
        <v>10</v>
      </c>
      <c r="P2" s="27" t="s">
        <v>826</v>
      </c>
      <c r="Q2" s="27" t="str" cm="1">
        <f t="array" ref="Q2">_xlfn.REGEXEXTRACT(B2,"(?&lt;=//)[^/]+")</f>
        <v>bdsmlust.com</v>
      </c>
      <c r="R2" s="27" t="s">
        <v>684</v>
      </c>
      <c r="S2" s="27" t="s">
        <v>759</v>
      </c>
      <c r="T2" s="27" t="str" cm="1">
        <f t="array" ref="T2">IF(S2&lt;&gt;"NotApplicable",_xlfn.REGEXEXTRACT(S2,"\d+(?=p)"),"NotApplicable")</f>
        <v>720</v>
      </c>
      <c r="U2" s="27" t="s">
        <v>1481</v>
      </c>
      <c r="V2" s="27" t="b">
        <f>ISNUMBER(SEARCH(",",F2))</f>
        <v>0</v>
      </c>
    </row>
    <row r="3" spans="1:22" ht="45" x14ac:dyDescent="0.25">
      <c r="A3" s="27" t="str">
        <f>IF(ISBLANK(N3)=TRUE,"Pending","Done")</f>
        <v>Done</v>
      </c>
      <c r="B3" s="27" t="s">
        <v>2744</v>
      </c>
      <c r="C3" s="27">
        <v>87</v>
      </c>
      <c r="D3" s="27" t="str">
        <f>SUBSTITUTE(TRIM(RIGHT(SUBSTITUTE(IF(RIGHT(B3,1)="/",LEFT(B3,LEN(B3)-1),B3),"/",REPT(" ",LEN(B3))),LEN(B3))),"-"," ")</f>
        <v>tall blonde amateur gets fucked while wearing blackout contact lenses</v>
      </c>
      <c r="E3" s="27" t="s">
        <v>844</v>
      </c>
      <c r="F3" s="27" t="s">
        <v>245</v>
      </c>
      <c r="G3" s="27" t="s">
        <v>70</v>
      </c>
      <c r="H3" s="27" t="s">
        <v>763</v>
      </c>
      <c r="I3" s="27" t="s">
        <v>757</v>
      </c>
      <c r="J3" s="27" t="s">
        <v>1750</v>
      </c>
      <c r="K3" s="27" t="s">
        <v>1750</v>
      </c>
      <c r="L3" s="27" t="s">
        <v>660</v>
      </c>
      <c r="M3" s="27" t="s">
        <v>630</v>
      </c>
      <c r="N3" s="27" t="s">
        <v>65</v>
      </c>
      <c r="O3" s="27">
        <v>10</v>
      </c>
      <c r="P3" s="27" t="s">
        <v>807</v>
      </c>
      <c r="Q3" s="27" t="str" cm="1">
        <f t="array" ref="Q3">_xlfn.REGEXEXTRACT(B3,"(?&lt;=//)[^/]+")</f>
        <v>heavyfetish.com</v>
      </c>
      <c r="R3" s="27" t="s">
        <v>684</v>
      </c>
      <c r="S3" s="27" t="s">
        <v>736</v>
      </c>
      <c r="T3" s="27" t="str" cm="1">
        <f t="array" ref="T3">IF(S3&lt;&gt;"NotApplicable",_xlfn.REGEXEXTRACT(S3,"\d+(?=p)"),"NotApplicable")</f>
        <v>720</v>
      </c>
      <c r="U3" s="27" t="s">
        <v>1482</v>
      </c>
      <c r="V3" s="27" t="b">
        <f>ISNUMBER(SEARCH(",",F3))</f>
        <v>0</v>
      </c>
    </row>
    <row r="4" spans="1:22" ht="60" x14ac:dyDescent="0.25">
      <c r="A4" s="27" t="str">
        <f>IF(ISBLANK(N4)=TRUE,"Pending","Done")</f>
        <v>Done</v>
      </c>
      <c r="B4" s="27" t="s">
        <v>726</v>
      </c>
      <c r="C4" s="27">
        <v>44</v>
      </c>
      <c r="D4" s="27" t="str">
        <f>SUBSTITUTE(TRIM(RIGHT(SUBSTITUTE(IF(RIGHT(B4,1)="/",LEFT(B4,LEN(B4)-1),B4),"/",REPT(" ",LEN(B4))),LEN(B4))),"-"," ")</f>
        <v>lily la beau a sadist s dream come true kink remastered 30 03 2023 1080 lily labeau</v>
      </c>
      <c r="E4" s="27" t="s">
        <v>842</v>
      </c>
      <c r="F4" s="27" t="s">
        <v>169</v>
      </c>
      <c r="G4" s="27" t="s">
        <v>70</v>
      </c>
      <c r="H4" s="27" t="s">
        <v>765</v>
      </c>
      <c r="I4" s="27" t="s">
        <v>758</v>
      </c>
      <c r="J4" s="27" t="s">
        <v>1750</v>
      </c>
      <c r="K4" s="27" t="s">
        <v>1750</v>
      </c>
      <c r="L4" s="27" t="s">
        <v>742</v>
      </c>
      <c r="M4" s="27" t="s">
        <v>722</v>
      </c>
      <c r="N4" s="27" t="s">
        <v>65</v>
      </c>
      <c r="O4" s="27">
        <v>10</v>
      </c>
      <c r="P4" s="27" t="s">
        <v>741</v>
      </c>
      <c r="Q4" s="27" t="str" cm="1">
        <f t="array" ref="Q4">_xlfn.REGEXEXTRACT(B4,"(?&lt;=//)[^/]+")</f>
        <v>bdsmmansion.com</v>
      </c>
      <c r="R4" s="27" t="s">
        <v>684</v>
      </c>
      <c r="S4" s="27" t="s">
        <v>737</v>
      </c>
      <c r="T4" s="27" t="str" cm="1">
        <f t="array" ref="T4">IF(S4&lt;&gt;"NotApplicable",_xlfn.REGEXEXTRACT(S4,"\d+(?=p)"),"NotApplicable")</f>
        <v>1080</v>
      </c>
      <c r="U4" s="27" t="s">
        <v>1482</v>
      </c>
      <c r="V4" s="27" t="b">
        <f>ISNUMBER(SEARCH(",",F4))</f>
        <v>0</v>
      </c>
    </row>
    <row r="5" spans="1:22" ht="60" x14ac:dyDescent="0.25">
      <c r="A5" s="27" t="str">
        <f>IF(ISBLANK(N5)=TRUE,"Pending","Done")</f>
        <v>Done</v>
      </c>
      <c r="B5" s="27" t="s">
        <v>1478</v>
      </c>
      <c r="C5" s="27">
        <v>48</v>
      </c>
      <c r="D5" s="27" t="str">
        <f>SUBSTITUTE(TRIM(RIGHT(SUBSTITUTE(IF(RIGHT(B5,1)="/",LEFT(B5,LEN(B5)-1),B5),"/",REPT(" ",LEN(B5))),LEN(B5))),"-"," ")</f>
        <v>felony overloaded overflowed</v>
      </c>
      <c r="E5" s="27" t="s">
        <v>849</v>
      </c>
      <c r="F5" s="27" t="s">
        <v>734</v>
      </c>
      <c r="G5" s="27" t="s">
        <v>70</v>
      </c>
      <c r="H5" s="27" t="s">
        <v>1489</v>
      </c>
      <c r="I5" s="27" t="s">
        <v>1490</v>
      </c>
      <c r="J5" s="27" t="s">
        <v>1750</v>
      </c>
      <c r="K5" s="27" t="s">
        <v>1750</v>
      </c>
      <c r="L5" s="27" t="s">
        <v>1492</v>
      </c>
      <c r="M5" s="27" t="s">
        <v>1491</v>
      </c>
      <c r="N5" s="27" t="s">
        <v>65</v>
      </c>
      <c r="O5" s="27">
        <v>10</v>
      </c>
      <c r="P5" s="27" t="s">
        <v>1493</v>
      </c>
      <c r="Q5" s="27" t="str" cm="1">
        <f t="array" ref="Q5">_xlfn.REGEXEXTRACT(B5,"(?&lt;=//)[^/]+")</f>
        <v>bdsmstreak.com</v>
      </c>
      <c r="R5" s="27" t="s">
        <v>684</v>
      </c>
      <c r="S5" s="27" t="s">
        <v>1488</v>
      </c>
      <c r="T5" s="27" t="str" cm="1">
        <f t="array" ref="T5">IF(S5&lt;&gt;"NotApplicable",_xlfn.REGEXEXTRACT(S5,"\d+(?=p)"),"NotApplicable")</f>
        <v>720</v>
      </c>
      <c r="U5" s="27" t="s">
        <v>2687</v>
      </c>
      <c r="V5" s="27" t="b">
        <f>ISNUMBER(SEARCH(",",F5))</f>
        <v>0</v>
      </c>
    </row>
    <row r="6" spans="1:22" ht="30" x14ac:dyDescent="0.25">
      <c r="A6" s="27" t="str">
        <f>IF(ISBLANK(N6)=TRUE,"Pending","Done")</f>
        <v>Done</v>
      </c>
      <c r="B6" s="27" t="s">
        <v>827</v>
      </c>
      <c r="C6" s="27">
        <v>72</v>
      </c>
      <c r="D6" s="27" t="str">
        <f>SUBSTITUTE(TRIM(RIGHT(SUBSTITUTE(IF(RIGHT(B6,1)="/",LEFT(B6,LEN(B6)-1),B6),"/",REPT(" ",LEN(B6))),LEN(B6))),"-"," ")</f>
        <v>device bondage mzberlin felony bella rossi</v>
      </c>
      <c r="E6" s="27" t="s">
        <v>853</v>
      </c>
      <c r="F6" s="27" t="s">
        <v>732</v>
      </c>
      <c r="G6" s="27" t="s">
        <v>71</v>
      </c>
      <c r="H6" s="27" t="s">
        <v>829</v>
      </c>
      <c r="I6" s="27" t="s">
        <v>828</v>
      </c>
      <c r="J6" s="27" t="s">
        <v>1750</v>
      </c>
      <c r="K6" s="27" t="s">
        <v>1750</v>
      </c>
      <c r="L6" s="27" t="s">
        <v>1700</v>
      </c>
      <c r="M6" s="27" t="s">
        <v>831</v>
      </c>
      <c r="N6" s="27" t="s">
        <v>65</v>
      </c>
      <c r="O6" s="27">
        <v>10</v>
      </c>
      <c r="P6" s="27" t="s">
        <v>832</v>
      </c>
      <c r="Q6" s="27" t="str" cm="1">
        <f t="array" ref="Q6">_xlfn.REGEXEXTRACT(B6,"(?&lt;=//)[^/]+")</f>
        <v>heavyfetish.com</v>
      </c>
      <c r="R6" s="27" t="s">
        <v>684</v>
      </c>
      <c r="S6" s="27" t="s">
        <v>830</v>
      </c>
      <c r="T6" s="27" t="str" cm="1">
        <f t="array" ref="T6">IF(S6&lt;&gt;"NotApplicable",_xlfn.REGEXEXTRACT(S6,"\d+(?=p)"),"NotApplicable")</f>
        <v>720</v>
      </c>
      <c r="U6" s="27" t="s">
        <v>1482</v>
      </c>
      <c r="V6" s="27" t="b">
        <f>ISNUMBER(SEARCH(",",F6))</f>
        <v>1</v>
      </c>
    </row>
    <row r="7" spans="1:22" ht="45" x14ac:dyDescent="0.25">
      <c r="A7" s="27" t="str">
        <f>IF(ISBLANK(N7)=TRUE,"Pending","Done")</f>
        <v>Done</v>
      </c>
      <c r="B7" s="27" t="s">
        <v>836</v>
      </c>
      <c r="C7" s="27">
        <v>77</v>
      </c>
      <c r="D7" s="27" t="str">
        <f>SUBSTITUTE(TRIM(RIGHT(SUBSTITUTE(IF(RIGHT(B7,1)="/",LEFT(B7,LEN(B7)-1),B7),"/",REPT(" ",LEN(B7))),LEN(B7))),"-"," ")</f>
        <v>video25531412</v>
      </c>
      <c r="E7" s="27" t="s">
        <v>842</v>
      </c>
      <c r="F7" s="27" t="s">
        <v>835</v>
      </c>
      <c r="G7" s="27" t="s">
        <v>70</v>
      </c>
      <c r="H7" s="27" t="s">
        <v>837</v>
      </c>
      <c r="I7" s="27" t="s">
        <v>839</v>
      </c>
      <c r="J7" s="27" t="s">
        <v>1750</v>
      </c>
      <c r="K7" s="27" t="s">
        <v>1750</v>
      </c>
      <c r="L7" s="27" t="s">
        <v>840</v>
      </c>
      <c r="M7" s="27" t="s">
        <v>79</v>
      </c>
      <c r="N7" s="27" t="s">
        <v>65</v>
      </c>
      <c r="O7" s="27">
        <v>10</v>
      </c>
      <c r="P7" s="27" t="s">
        <v>841</v>
      </c>
      <c r="Q7" s="27" t="str" cm="1">
        <f t="array" ref="Q7">_xlfn.REGEXEXTRACT(B7,"(?&lt;=//)[^/]+")</f>
        <v>www.tnaflix.com</v>
      </c>
      <c r="R7" s="27" t="s">
        <v>684</v>
      </c>
      <c r="S7" s="27" t="s">
        <v>838</v>
      </c>
      <c r="T7" s="27" t="str" cm="1">
        <f t="array" ref="T7">IF(S7&lt;&gt;"NotApplicable",_xlfn.REGEXEXTRACT(S7,"\d+(?=p)"),"NotApplicable")</f>
        <v>720</v>
      </c>
      <c r="U7" s="27" t="s">
        <v>1482</v>
      </c>
      <c r="V7" s="27" t="b">
        <f>ISNUMBER(SEARCH(",",F7))</f>
        <v>0</v>
      </c>
    </row>
    <row r="8" spans="1:22" ht="90" x14ac:dyDescent="0.25">
      <c r="A8" s="27" t="str">
        <f>IF(ISBLANK(N8)=TRUE,"Pending","Done")</f>
        <v>Done</v>
      </c>
      <c r="B8" s="27" t="s">
        <v>769</v>
      </c>
      <c r="C8" s="27">
        <v>61</v>
      </c>
      <c r="D8" s="27" t="str">
        <f>SUBSTITUTE(TRIM(RIGHT(SUBSTITUTE(IF(RIGHT(B8,1)="/",LEFT(B8,LEN(B8)-1),B8),"/",REPT(" ",LEN(B8))),LEN(B8))),"-"," ")</f>
        <v>device bondage jodi taylor live</v>
      </c>
      <c r="E8" s="27" t="s">
        <v>853</v>
      </c>
      <c r="F8" s="27" t="s">
        <v>767</v>
      </c>
      <c r="G8" s="27" t="s">
        <v>71</v>
      </c>
      <c r="H8" s="27" t="s">
        <v>766</v>
      </c>
      <c r="I8" s="27" t="s">
        <v>770</v>
      </c>
      <c r="J8" s="27" t="s">
        <v>1750</v>
      </c>
      <c r="K8" s="27" t="s">
        <v>1750</v>
      </c>
      <c r="L8" s="27" t="s">
        <v>1707</v>
      </c>
      <c r="M8" s="27" t="s">
        <v>683</v>
      </c>
      <c r="N8" s="27" t="s">
        <v>65</v>
      </c>
      <c r="O8" s="27">
        <v>10</v>
      </c>
      <c r="P8" s="27" t="s">
        <v>682</v>
      </c>
      <c r="Q8" s="27" t="str" cm="1">
        <f t="array" ref="Q8">_xlfn.REGEXEXTRACT(B8,"(?&lt;=//)[^/]+")</f>
        <v>bdsmlust.com</v>
      </c>
      <c r="R8" s="27" t="s">
        <v>684</v>
      </c>
      <c r="S8" s="27" t="s">
        <v>771</v>
      </c>
      <c r="T8" s="27" t="str" cm="1">
        <f t="array" ref="T8">IF(S8&lt;&gt;"NotApplicable",_xlfn.REGEXEXTRACT(S8,"\d+(?=p)"),"NotApplicable")</f>
        <v>720</v>
      </c>
      <c r="U8" s="27" t="s">
        <v>2688</v>
      </c>
      <c r="V8" s="27" t="b">
        <f>ISNUMBER(SEARCH(",",F8))</f>
        <v>1</v>
      </c>
    </row>
    <row r="9" spans="1:22" ht="60" x14ac:dyDescent="0.25">
      <c r="A9" s="27" t="str">
        <f>IF(ISBLANK(N9)=TRUE,"Pending","Done")</f>
        <v>Done</v>
      </c>
      <c r="B9" s="27" t="s">
        <v>833</v>
      </c>
      <c r="C9" s="27">
        <v>74</v>
      </c>
      <c r="D9" s="27" t="str">
        <f>SUBSTITUTE(TRIM(RIGHT(SUBSTITUTE(IF(RIGHT(B9,1)="/",LEFT(B9,LEN(B9)-1),B9),"/",REPT(" ",LEN(B9))),LEN(B9))),"-"," ")</f>
        <v>device bondage tara lynn fox</v>
      </c>
      <c r="E9" s="27" t="s">
        <v>853</v>
      </c>
      <c r="F9" s="27" t="s">
        <v>1666</v>
      </c>
      <c r="G9" s="27" t="s">
        <v>71</v>
      </c>
      <c r="H9" s="27" t="s">
        <v>2213</v>
      </c>
      <c r="I9" s="27" t="s">
        <v>2212</v>
      </c>
      <c r="J9" s="27" t="s">
        <v>1750</v>
      </c>
      <c r="K9" s="27" t="s">
        <v>1750</v>
      </c>
      <c r="L9" s="27" t="s">
        <v>1717</v>
      </c>
      <c r="M9" s="27" t="s">
        <v>1504</v>
      </c>
      <c r="N9" s="27" t="s">
        <v>65</v>
      </c>
      <c r="O9" s="27">
        <v>9</v>
      </c>
      <c r="P9" s="27" t="s">
        <v>834</v>
      </c>
      <c r="Q9" s="27" t="str" cm="1">
        <f t="array" ref="Q9">_xlfn.REGEXEXTRACT(B9,"(?&lt;=//)[^/]+")</f>
        <v>heavyfetish.com</v>
      </c>
      <c r="R9" s="27" t="s">
        <v>685</v>
      </c>
      <c r="S9" s="27" t="s">
        <v>1750</v>
      </c>
      <c r="T9" s="27" t="str" cm="1">
        <f t="array" ref="T9">IF(S9&lt;&gt;"NotApplicable",_xlfn.REGEXEXTRACT(S9,"\d+(?=p)"),"NotApplicable")</f>
        <v>NotApplicable</v>
      </c>
      <c r="U9" s="27" t="s">
        <v>1750</v>
      </c>
      <c r="V9" s="27" t="b">
        <f>ISNUMBER(SEARCH(",",F9))</f>
        <v>1</v>
      </c>
    </row>
    <row r="10" spans="1:22" ht="75" x14ac:dyDescent="0.25">
      <c r="A10" s="27" t="str">
        <f>IF(ISBLANK(N10)=TRUE,"Pending","Done")</f>
        <v>Done</v>
      </c>
      <c r="B10" s="27" t="s">
        <v>1497</v>
      </c>
      <c r="C10" s="27">
        <v>60</v>
      </c>
      <c r="D10" s="27" t="str">
        <f>SUBSTITUTE(TRIM(RIGHT(SUBSTITUTE(IF(RIGHT(B10,1)="/",LEFT(B10,LEN(B10)-1),B10),"/",REPT(" ",LEN(B10))),LEN(B10))),"-"," ")</f>
        <v>wired pussy the cattleprod</v>
      </c>
      <c r="E10" s="27" t="s">
        <v>848</v>
      </c>
      <c r="F10" s="27" t="s">
        <v>774</v>
      </c>
      <c r="G10" s="27" t="s">
        <v>71</v>
      </c>
      <c r="H10" s="27" t="s">
        <v>2215</v>
      </c>
      <c r="I10" s="27" t="s">
        <v>2214</v>
      </c>
      <c r="J10" s="27" t="s">
        <v>1750</v>
      </c>
      <c r="K10" s="27" t="s">
        <v>1750</v>
      </c>
      <c r="L10" s="27" t="s">
        <v>1699</v>
      </c>
      <c r="M10" s="27" t="s">
        <v>1498</v>
      </c>
      <c r="N10" s="27" t="s">
        <v>65</v>
      </c>
      <c r="O10" s="27">
        <v>9</v>
      </c>
      <c r="P10" s="27" t="s">
        <v>1496</v>
      </c>
      <c r="Q10" s="27" t="str" cm="1">
        <f t="array" ref="Q10">_xlfn.REGEXEXTRACT(B10,"(?&lt;=//)[^/]+")</f>
        <v>bdsmmansion.com</v>
      </c>
      <c r="R10" s="27" t="s">
        <v>685</v>
      </c>
      <c r="S10" s="27" t="s">
        <v>1750</v>
      </c>
      <c r="T10" s="27" t="str" cm="1">
        <f t="array" ref="T10">IF(S10&lt;&gt;"NotApplicable",_xlfn.REGEXEXTRACT(S10,"\d+(?=p)"),"NotApplicable")</f>
        <v>NotApplicable</v>
      </c>
      <c r="U10" s="27" t="s">
        <v>1750</v>
      </c>
      <c r="V10" s="27" t="b">
        <f>ISNUMBER(SEARCH(",",F10))</f>
        <v>1</v>
      </c>
    </row>
    <row r="11" spans="1:22" ht="30" x14ac:dyDescent="0.25">
      <c r="A11" s="27" t="str">
        <f>IF(ISBLANK(N11)=TRUE,"Pending","Done")</f>
        <v>Done</v>
      </c>
      <c r="B11" s="27" t="s">
        <v>688</v>
      </c>
      <c r="C11" s="27">
        <v>0</v>
      </c>
      <c r="D11" s="27" t="str">
        <f>SUBSTITUTE(TRIM(RIGHT(SUBSTITUTE(IF(RIGHT(B11,1)="/",LEFT(B11,LEN(B11)-1),B11),"/",REPT(" ",LEN(B11))),LEN(B11))),"-"," ")</f>
        <v>model_Tara_Lynn_Foxx_2o86t</v>
      </c>
      <c r="E11" s="27" t="s">
        <v>842</v>
      </c>
      <c r="F11" s="27" t="s">
        <v>689</v>
      </c>
      <c r="G11" s="27" t="s">
        <v>70</v>
      </c>
      <c r="H11" s="27" t="s">
        <v>1750</v>
      </c>
      <c r="I11" s="27" t="s">
        <v>1750</v>
      </c>
      <c r="J11" s="27" t="s">
        <v>1750</v>
      </c>
      <c r="K11" s="27" t="s">
        <v>1750</v>
      </c>
      <c r="L11" s="27" t="s">
        <v>692</v>
      </c>
      <c r="M11" s="27" t="s">
        <v>693</v>
      </c>
      <c r="N11" s="27" t="s">
        <v>65</v>
      </c>
      <c r="O11" s="27">
        <v>9</v>
      </c>
      <c r="P11" s="27" t="s">
        <v>694</v>
      </c>
      <c r="Q11" s="27" t="str" cm="1">
        <f t="array" ref="Q11">_xlfn.REGEXEXTRACT(B11,"(?&lt;=//)[^/]+")</f>
        <v>www.hqbdsm.com</v>
      </c>
      <c r="R11" s="27" t="s">
        <v>685</v>
      </c>
      <c r="S11" s="27" t="s">
        <v>1750</v>
      </c>
      <c r="T11" s="27" t="str" cm="1">
        <f t="array" ref="T11">IF(S11&lt;&gt;"NotApplicable",_xlfn.REGEXEXTRACT(S11,"\d+(?=p)"),"NotApplicable")</f>
        <v>NotApplicable</v>
      </c>
      <c r="U11" s="27" t="s">
        <v>1750</v>
      </c>
      <c r="V11" s="27" t="b">
        <f>ISNUMBER(SEARCH(",",F11))</f>
        <v>0</v>
      </c>
    </row>
    <row r="12" spans="1:22" ht="30" x14ac:dyDescent="0.25">
      <c r="A12" s="27" t="str">
        <f>IF(ISBLANK(N12)=TRUE,"Pending","Done")</f>
        <v>Done</v>
      </c>
      <c r="B12" s="27" t="s">
        <v>747</v>
      </c>
      <c r="C12" s="27">
        <v>0</v>
      </c>
      <c r="D12" s="27" t="str">
        <f>SUBSTITUTE(TRIM(RIGHT(SUBSTITUTE(IF(RIGHT(B12,1)="/",LEFT(B12,LEN(B12)-1),B12),"/",REPT(" ",LEN(B12))),LEN(B12))),"-"," ")</f>
        <v>device bondage</v>
      </c>
      <c r="E12" s="27" t="s">
        <v>1748</v>
      </c>
      <c r="F12" s="27" t="s">
        <v>1749</v>
      </c>
      <c r="G12" s="27" t="s">
        <v>70</v>
      </c>
      <c r="H12" s="27" t="s">
        <v>1750</v>
      </c>
      <c r="I12" s="27" t="s">
        <v>1750</v>
      </c>
      <c r="J12" s="27" t="s">
        <v>1750</v>
      </c>
      <c r="K12" s="27" t="s">
        <v>1750</v>
      </c>
      <c r="L12" s="27" t="s">
        <v>748</v>
      </c>
      <c r="M12" s="27" t="s">
        <v>749</v>
      </c>
      <c r="N12" s="27" t="s">
        <v>65</v>
      </c>
      <c r="O12" s="27">
        <v>9</v>
      </c>
      <c r="P12" s="27" t="s">
        <v>750</v>
      </c>
      <c r="Q12" s="27" t="str" cm="1">
        <f t="array" ref="Q12">_xlfn.REGEXEXTRACT(B12,"(?&lt;=//)[^/]+")</f>
        <v>bdsmlust.com</v>
      </c>
      <c r="R12" s="27" t="s">
        <v>685</v>
      </c>
      <c r="S12" s="27" t="s">
        <v>1750</v>
      </c>
      <c r="T12" s="27" t="str" cm="1">
        <f t="array" ref="T12">IF(S12&lt;&gt;"NotApplicable",_xlfn.REGEXEXTRACT(S12,"\d+(?=p)"),"NotApplicable")</f>
        <v>NotApplicable</v>
      </c>
      <c r="U12" s="27" t="s">
        <v>1750</v>
      </c>
      <c r="V12" s="27" t="b">
        <f>ISNUMBER(SEARCH(",",F12))</f>
        <v>0</v>
      </c>
    </row>
    <row r="13" spans="1:22" ht="30" x14ac:dyDescent="0.25">
      <c r="A13" s="27" t="str">
        <f>IF(ISBLANK(N13)=TRUE,"Pending","Done")</f>
        <v>Done</v>
      </c>
      <c r="B13" s="27" t="s">
        <v>121</v>
      </c>
      <c r="C13" s="27">
        <v>0</v>
      </c>
      <c r="D13" s="27" t="str">
        <f>SUBSTITUTE(TRIM(RIGHT(SUBSTITUTE(IF(RIGHT(B13,1)="/",LEFT(B13,LEN(B13)-1),B13),"/",REPT(" ",LEN(B13))),LEN(B13))),"-"," ")</f>
        <v>seviliyager</v>
      </c>
      <c r="E13" s="27" t="s">
        <v>1748</v>
      </c>
      <c r="F13" s="27" t="s">
        <v>122</v>
      </c>
      <c r="G13" s="27" t="s">
        <v>123</v>
      </c>
      <c r="H13" s="27" t="s">
        <v>1750</v>
      </c>
      <c r="I13" s="27" t="s">
        <v>1750</v>
      </c>
      <c r="J13" s="27" t="s">
        <v>1750</v>
      </c>
      <c r="K13" s="27" t="s">
        <v>1750</v>
      </c>
      <c r="L13" s="27" t="s">
        <v>348</v>
      </c>
      <c r="M13" s="27" t="s">
        <v>591</v>
      </c>
      <c r="N13" s="27" t="s">
        <v>65</v>
      </c>
      <c r="O13" s="27">
        <v>9</v>
      </c>
      <c r="P13" s="27" t="s">
        <v>124</v>
      </c>
      <c r="Q13" s="27" t="str" cm="1">
        <f t="array" ref="Q13">_xlfn.REGEXEXTRACT(B13,"(?&lt;=//)[^/]+")</f>
        <v>spankbang.com</v>
      </c>
      <c r="R13" s="27" t="s">
        <v>685</v>
      </c>
      <c r="S13" s="27" t="s">
        <v>1750</v>
      </c>
      <c r="T13" s="27" t="str" cm="1">
        <f t="array" ref="T13">IF(S13&lt;&gt;"NotApplicable",_xlfn.REGEXEXTRACT(S13,"\d+(?=p)"),"NotApplicable")</f>
        <v>NotApplicable</v>
      </c>
      <c r="U13" s="27" t="s">
        <v>1750</v>
      </c>
      <c r="V13" s="27" t="b">
        <f>ISNUMBER(SEARCH(",",F13))</f>
        <v>0</v>
      </c>
    </row>
    <row r="14" spans="1:22" ht="45" x14ac:dyDescent="0.25">
      <c r="A14" s="27" t="str">
        <f>IF(ISBLANK(N14)=TRUE,"Pending","Done")</f>
        <v>Done</v>
      </c>
      <c r="B14" s="27" t="s">
        <v>13</v>
      </c>
      <c r="C14" s="27">
        <v>33</v>
      </c>
      <c r="D14" s="27" t="str">
        <f>SUBSTITUTE(TRIM(RIGHT(SUBSTITUTE(IF(RIGHT(B14,1)="/",LEFT(B14,LEN(B14)-1),B14),"/",REPT(" ",LEN(B14))),LEN(B14))),"-"," ")</f>
        <v>hazel hypnotic part 4</v>
      </c>
      <c r="E14" s="27" t="s">
        <v>2318</v>
      </c>
      <c r="F14" s="27" t="s">
        <v>78</v>
      </c>
      <c r="G14" s="27" t="s">
        <v>70</v>
      </c>
      <c r="H14" s="27" t="s">
        <v>2317</v>
      </c>
      <c r="I14" s="27" t="s">
        <v>2316</v>
      </c>
      <c r="J14" s="27" t="s">
        <v>1750</v>
      </c>
      <c r="K14" s="27" t="s">
        <v>1750</v>
      </c>
      <c r="L14" s="27" t="s">
        <v>353</v>
      </c>
      <c r="M14" s="27" t="s">
        <v>613</v>
      </c>
      <c r="N14" s="27" t="s">
        <v>65</v>
      </c>
      <c r="O14" s="27">
        <v>8</v>
      </c>
      <c r="P14" s="27" t="s">
        <v>102</v>
      </c>
      <c r="Q14" s="27" t="str" cm="1">
        <f t="array" ref="Q14">_xlfn.REGEXEXTRACT(B14,"(?&lt;=//)[^/]+")</f>
        <v>bdsmstreak.com</v>
      </c>
      <c r="R14" s="27" t="s">
        <v>685</v>
      </c>
      <c r="S14" s="27" t="s">
        <v>1750</v>
      </c>
      <c r="T14" s="27" t="str" cm="1">
        <f t="array" ref="T14">IF(S14&lt;&gt;"NotApplicable",_xlfn.REGEXEXTRACT(S14,"\d+(?=p)"),"NotApplicable")</f>
        <v>NotApplicable</v>
      </c>
      <c r="U14" s="27" t="s">
        <v>1750</v>
      </c>
      <c r="V14" s="27" t="b">
        <f>ISNUMBER(SEARCH(",",F14))</f>
        <v>0</v>
      </c>
    </row>
    <row r="15" spans="1:22" ht="30" x14ac:dyDescent="0.25">
      <c r="A15" s="27" t="str">
        <f>IF(ISBLANK(N15)=TRUE,"Pending","Done")</f>
        <v>Done</v>
      </c>
      <c r="B15" s="27" t="s">
        <v>1514</v>
      </c>
      <c r="C15" s="27">
        <v>9</v>
      </c>
      <c r="D15" s="27" t="str">
        <f>SUBSTITUTE(TRIM(RIGHT(SUBSTITUTE(IF(RIGHT(B15,1)="/",LEFT(B15,LEN(B15)-1),B15),"/",REPT(" ",LEN(B15))),LEN(B15))),"-"," ")</f>
        <v>kenzie reeves a fine piece of bound meat part 1</v>
      </c>
      <c r="E15" s="27" t="s">
        <v>146</v>
      </c>
      <c r="F15" s="27" t="s">
        <v>1511</v>
      </c>
      <c r="G15" s="27" t="s">
        <v>70</v>
      </c>
      <c r="H15" s="27" t="s">
        <v>1513</v>
      </c>
      <c r="I15" s="27" t="s">
        <v>1519</v>
      </c>
      <c r="J15" s="27" t="s">
        <v>1750</v>
      </c>
      <c r="K15" s="27" t="s">
        <v>1750</v>
      </c>
      <c r="L15" s="27" t="s">
        <v>1523</v>
      </c>
      <c r="M15" s="27" t="s">
        <v>1525</v>
      </c>
      <c r="N15" s="27" t="s">
        <v>65</v>
      </c>
      <c r="O15" s="27">
        <v>8</v>
      </c>
      <c r="P15" s="27" t="s">
        <v>1524</v>
      </c>
      <c r="Q15" s="27" t="str" cm="1">
        <f t="array" ref="Q15">_xlfn.REGEXEXTRACT(B15,"(?&lt;=//)[^/]+")</f>
        <v>www.porntrex.com</v>
      </c>
      <c r="R15" s="27" t="s">
        <v>684</v>
      </c>
      <c r="S15" s="27" t="s">
        <v>1512</v>
      </c>
      <c r="T15" s="27" t="str" cm="1">
        <f t="array" ref="T15">IF(S15&lt;&gt;"NotApplicable",_xlfn.REGEXEXTRACT(S15,"\d+(?=p)"),"NotApplicable")</f>
        <v>1080</v>
      </c>
      <c r="U15" s="27" t="s">
        <v>1518</v>
      </c>
      <c r="V15" s="27" t="b">
        <f>ISNUMBER(SEARCH(",",F15))</f>
        <v>0</v>
      </c>
    </row>
    <row r="16" spans="1:22" ht="30" x14ac:dyDescent="0.25">
      <c r="A16" s="27" t="str">
        <f>IF(ISBLANK(N16)=TRUE,"Pending","Done")</f>
        <v>Done</v>
      </c>
      <c r="B16" s="27" t="s">
        <v>308</v>
      </c>
      <c r="C16" s="27">
        <v>11</v>
      </c>
      <c r="D16" s="27" t="str">
        <f>SUBSTITUTE(TRIM(RIGHT(SUBSTITUTE(IF(RIGHT(B16,1)="/",LEFT(B16,LEN(B16)-1),B16),"/",REPT(" ",LEN(B16))),LEN(B16))),"-"," ")</f>
        <v>clean and clear xhUNQAP?pw=</v>
      </c>
      <c r="E16" s="27" t="s">
        <v>851</v>
      </c>
      <c r="F16" s="27" t="s">
        <v>1749</v>
      </c>
      <c r="G16" s="27" t="s">
        <v>71</v>
      </c>
      <c r="H16" s="27" t="s">
        <v>2224</v>
      </c>
      <c r="I16" s="27" t="s">
        <v>2223</v>
      </c>
      <c r="J16" s="27" t="s">
        <v>1750</v>
      </c>
      <c r="K16" s="27" t="s">
        <v>1750</v>
      </c>
      <c r="L16" s="27" t="s">
        <v>465</v>
      </c>
      <c r="M16" s="27" t="s">
        <v>628</v>
      </c>
      <c r="N16" s="27" t="s">
        <v>65</v>
      </c>
      <c r="O16" s="27">
        <v>8</v>
      </c>
      <c r="P16" s="27" t="s">
        <v>471</v>
      </c>
      <c r="Q16" s="27" t="str" cm="1">
        <f t="array" ref="Q16">_xlfn.REGEXEXTRACT(B16,"(?&lt;=//)[^/]+")</f>
        <v>xhamster44.desi</v>
      </c>
      <c r="R16" s="27" t="s">
        <v>685</v>
      </c>
      <c r="S16" s="27" t="s">
        <v>1750</v>
      </c>
      <c r="T16" s="27" t="str" cm="1">
        <f t="array" ref="T16">IF(S16&lt;&gt;"NotApplicable",_xlfn.REGEXEXTRACT(S16,"\d+(?=p)"),"NotApplicable")</f>
        <v>NotApplicable</v>
      </c>
      <c r="U16" s="27" t="s">
        <v>1750</v>
      </c>
      <c r="V16" s="27" t="b">
        <f>ISNUMBER(SEARCH(",",F16))</f>
        <v>0</v>
      </c>
    </row>
    <row r="17" spans="1:22" ht="60" x14ac:dyDescent="0.25">
      <c r="A17" s="27" t="str">
        <f>IF(ISBLANK(N17)=TRUE,"Pending","Done")</f>
        <v>Done</v>
      </c>
      <c r="B17" s="27" t="s">
        <v>790</v>
      </c>
      <c r="C17" s="27">
        <v>46</v>
      </c>
      <c r="D17" s="27" t="str">
        <f>SUBSTITUTE(TRIM(RIGHT(SUBSTITUTE(IF(RIGHT(B17,1)="/",LEFT(B17,LEN(B17)-1),B17),"/",REPT(" ",LEN(B17))),LEN(B17))),"-"," ")</f>
        <v>felony bound in cruel latex metal and leather bondage</v>
      </c>
      <c r="E17" s="27" t="s">
        <v>853</v>
      </c>
      <c r="F17" s="27" t="s">
        <v>734</v>
      </c>
      <c r="G17" s="27" t="s">
        <v>71</v>
      </c>
      <c r="H17" s="27" t="s">
        <v>2222</v>
      </c>
      <c r="I17" s="27" t="s">
        <v>2222</v>
      </c>
      <c r="J17" s="27" t="s">
        <v>1750</v>
      </c>
      <c r="K17" s="27" t="s">
        <v>1750</v>
      </c>
      <c r="L17" s="27" t="s">
        <v>799</v>
      </c>
      <c r="M17" s="27" t="s">
        <v>791</v>
      </c>
      <c r="N17" s="27" t="s">
        <v>65</v>
      </c>
      <c r="O17" s="27">
        <v>8</v>
      </c>
      <c r="P17" s="27" t="s">
        <v>792</v>
      </c>
      <c r="Q17" s="27" t="str" cm="1">
        <f t="array" ref="Q17">_xlfn.REGEXEXTRACT(B17,"(?&lt;=//)[^/]+")</f>
        <v>bdsmstreak.com</v>
      </c>
      <c r="R17" s="27" t="s">
        <v>685</v>
      </c>
      <c r="S17" s="27" t="s">
        <v>1750</v>
      </c>
      <c r="T17" s="27" t="str" cm="1">
        <f t="array" ref="T17">IF(S17&lt;&gt;"NotApplicable",_xlfn.REGEXEXTRACT(S17,"\d+(?=p)"),"NotApplicable")</f>
        <v>NotApplicable</v>
      </c>
      <c r="U17" s="27" t="s">
        <v>1750</v>
      </c>
      <c r="V17" s="27" t="b">
        <f>ISNUMBER(SEARCH(",",F17))</f>
        <v>0</v>
      </c>
    </row>
    <row r="18" spans="1:22" ht="45" x14ac:dyDescent="0.25">
      <c r="A18" s="27" t="str">
        <f>IF(ISBLANK(N18)=TRUE,"Pending","Done")</f>
        <v>Done</v>
      </c>
      <c r="B18" s="27" t="s">
        <v>669</v>
      </c>
      <c r="C18" s="27">
        <v>48</v>
      </c>
      <c r="D18" s="27" t="str">
        <f>SUBSTITUTE(TRIM(RIGHT(SUBSTITUTE(IF(RIGHT(B18,1)="/",LEFT(B18,LEN(B18)-1),B18),"/",REPT(" ",LEN(B18))),LEN(B18))),"-"," ")</f>
        <v>?campaign_id=520379779</v>
      </c>
      <c r="E18" s="27" t="s">
        <v>842</v>
      </c>
      <c r="F18" s="27" t="s">
        <v>671</v>
      </c>
      <c r="G18" s="27" t="s">
        <v>81</v>
      </c>
      <c r="H18" s="27" t="s">
        <v>2220</v>
      </c>
      <c r="I18" s="27" t="s">
        <v>2221</v>
      </c>
      <c r="J18" s="27" t="s">
        <v>1750</v>
      </c>
      <c r="K18" s="27" t="s">
        <v>1750</v>
      </c>
      <c r="L18" s="27" t="s">
        <v>677</v>
      </c>
      <c r="M18" s="27" t="s">
        <v>676</v>
      </c>
      <c r="N18" s="27" t="s">
        <v>65</v>
      </c>
      <c r="O18" s="27">
        <v>8</v>
      </c>
      <c r="P18" s="27" t="s">
        <v>678</v>
      </c>
      <c r="Q18" s="27" t="str" cm="1">
        <f t="array" ref="Q18">_xlfn.REGEXEXTRACT(B18,"(?&lt;=//)[^/]+")</f>
        <v>abxxx.com</v>
      </c>
      <c r="R18" s="27" t="s">
        <v>685</v>
      </c>
      <c r="S18" s="27" t="s">
        <v>1750</v>
      </c>
      <c r="T18" s="27" t="str" cm="1">
        <f t="array" ref="T18">IF(S18&lt;&gt;"NotApplicable",_xlfn.REGEXEXTRACT(S18,"\d+(?=p)"),"NotApplicable")</f>
        <v>NotApplicable</v>
      </c>
      <c r="U18" s="27" t="s">
        <v>1750</v>
      </c>
      <c r="V18" s="27" t="b">
        <f>ISNUMBER(SEARCH(",",F18))</f>
        <v>0</v>
      </c>
    </row>
    <row r="19" spans="1:22" ht="30" x14ac:dyDescent="0.25">
      <c r="A19" s="27" t="str">
        <f>IF(ISBLANK(N19)=TRUE,"Pending","Done")</f>
        <v>Done</v>
      </c>
      <c r="B19" s="27" t="s">
        <v>267</v>
      </c>
      <c r="C19" s="27">
        <v>0</v>
      </c>
      <c r="D19" s="27" t="str">
        <f>SUBSTITUTE(TRIM(RIGHT(SUBSTITUTE(IF(RIGHT(B19,1)="/",LEFT(B19,LEN(B19)-1),B19),"/",REPT(" ",LEN(B19))),LEN(B19))),"-"," ")</f>
        <v>femdom</v>
      </c>
      <c r="E19" s="27" t="s">
        <v>1748</v>
      </c>
      <c r="F19" s="27" t="s">
        <v>1749</v>
      </c>
      <c r="G19" s="27" t="s">
        <v>81</v>
      </c>
      <c r="H19" s="27" t="s">
        <v>1750</v>
      </c>
      <c r="I19" s="27" t="s">
        <v>1750</v>
      </c>
      <c r="J19" s="27" t="s">
        <v>1750</v>
      </c>
      <c r="K19" s="27" t="s">
        <v>1750</v>
      </c>
      <c r="L19" s="27" t="s">
        <v>453</v>
      </c>
      <c r="M19" s="27" t="s">
        <v>365</v>
      </c>
      <c r="N19" s="27" t="s">
        <v>65</v>
      </c>
      <c r="O19" s="27">
        <v>8</v>
      </c>
      <c r="P19" s="27" t="s">
        <v>282</v>
      </c>
      <c r="Q19" s="27" t="str" cm="1">
        <f t="array" ref="Q19">_xlfn.REGEXEXTRACT(B19,"(?&lt;=//)[^/]+")</f>
        <v>www.fuq.com</v>
      </c>
      <c r="R19" s="27" t="s">
        <v>685</v>
      </c>
      <c r="S19" s="27" t="s">
        <v>1750</v>
      </c>
      <c r="T19" s="27" t="str" cm="1">
        <f t="array" ref="T19">IF(S19&lt;&gt;"NotApplicable",_xlfn.REGEXEXTRACT(S19,"\d+(?=p)"),"NotApplicable")</f>
        <v>NotApplicable</v>
      </c>
      <c r="U19" s="27" t="s">
        <v>1750</v>
      </c>
      <c r="V19" s="27" t="b">
        <f>ISNUMBER(SEARCH(",",F19))</f>
        <v>0</v>
      </c>
    </row>
    <row r="20" spans="1:22" ht="30" x14ac:dyDescent="0.25">
      <c r="A20" s="27" t="str">
        <f>IF(ISBLANK(N20)=TRUE,"Pending","Done")</f>
        <v>Done</v>
      </c>
      <c r="B20" s="27" t="s">
        <v>312</v>
      </c>
      <c r="C20" s="27">
        <v>0</v>
      </c>
      <c r="D20" s="27" t="str">
        <f>SUBSTITUTE(TRIM(RIGHT(SUBSTITUTE(IF(RIGHT(B20,1)="/",LEFT(B20,LEN(B20)-1),B20),"/",REPT(" ",LEN(B20))),LEN(B20))),"-"," ")</f>
        <v>femdom</v>
      </c>
      <c r="E20" s="27" t="s">
        <v>1748</v>
      </c>
      <c r="F20" s="27" t="s">
        <v>1749</v>
      </c>
      <c r="G20" s="27" t="s">
        <v>81</v>
      </c>
      <c r="H20" s="27" t="s">
        <v>1750</v>
      </c>
      <c r="I20" s="27" t="s">
        <v>1750</v>
      </c>
      <c r="J20" s="27" t="s">
        <v>1750</v>
      </c>
      <c r="K20" s="27" t="s">
        <v>1750</v>
      </c>
      <c r="L20" s="27" t="s">
        <v>1742</v>
      </c>
      <c r="M20" s="27" t="s">
        <v>625</v>
      </c>
      <c r="N20" s="27" t="s">
        <v>65</v>
      </c>
      <c r="O20" s="27">
        <v>8</v>
      </c>
      <c r="P20" s="27" t="s">
        <v>421</v>
      </c>
      <c r="Q20" s="27" t="str" cm="1">
        <f t="array" ref="Q20">_xlfn.REGEXEXTRACT(B20,"(?&lt;=//)[^/]+")</f>
        <v>www.tubebdsm.com</v>
      </c>
      <c r="R20" s="27" t="s">
        <v>685</v>
      </c>
      <c r="S20" s="27" t="s">
        <v>1750</v>
      </c>
      <c r="T20" s="27" t="str" cm="1">
        <f t="array" ref="T20">IF(S20&lt;&gt;"NotApplicable",_xlfn.REGEXEXTRACT(S20,"\d+(?=p)"),"NotApplicable")</f>
        <v>NotApplicable</v>
      </c>
      <c r="U20" s="27" t="s">
        <v>1750</v>
      </c>
      <c r="V20" s="27" t="b">
        <f>ISNUMBER(SEARCH(",",F20))</f>
        <v>0</v>
      </c>
    </row>
    <row r="21" spans="1:22" ht="30" x14ac:dyDescent="0.25">
      <c r="A21" s="27" t="str">
        <f>IF(ISBLANK(N21)=TRUE,"Pending","Done")</f>
        <v>Done</v>
      </c>
      <c r="B21" s="27" t="s">
        <v>56</v>
      </c>
      <c r="C21" s="27">
        <v>0</v>
      </c>
      <c r="D21" s="27" t="str">
        <f>SUBSTITUTE(TRIM(RIGHT(SUBSTITUTE(IF(RIGHT(B21,1)="/",LEFT(B21,LEN(B21)-1),B21),"/",REPT(" ",LEN(B21))),LEN(B21))),"-"," ")</f>
        <v>kink</v>
      </c>
      <c r="E21" s="27" t="s">
        <v>842</v>
      </c>
      <c r="F21" s="27" t="s">
        <v>1749</v>
      </c>
      <c r="G21" s="27" t="s">
        <v>70</v>
      </c>
      <c r="H21" s="27" t="s">
        <v>1750</v>
      </c>
      <c r="I21" s="27" t="s">
        <v>1750</v>
      </c>
      <c r="J21" s="27" t="s">
        <v>1750</v>
      </c>
      <c r="K21" s="27" t="s">
        <v>1750</v>
      </c>
      <c r="L21" s="27" t="s">
        <v>503</v>
      </c>
      <c r="M21" s="27" t="s">
        <v>364</v>
      </c>
      <c r="N21" s="27" t="s">
        <v>65</v>
      </c>
      <c r="O21" s="27">
        <v>8</v>
      </c>
      <c r="P21" s="27" t="s">
        <v>234</v>
      </c>
      <c r="Q21" s="27" t="str" cm="1">
        <f t="array" ref="Q21">_xlfn.REGEXEXTRACT(B21,"(?&lt;=//)[^/]+")</f>
        <v>tube.perverzija.com</v>
      </c>
      <c r="R21" s="27" t="s">
        <v>685</v>
      </c>
      <c r="S21" s="27" t="s">
        <v>1750</v>
      </c>
      <c r="T21" s="27" t="str" cm="1">
        <f t="array" ref="T21">IF(S21&lt;&gt;"NotApplicable",_xlfn.REGEXEXTRACT(S21,"\d+(?=p)"),"NotApplicable")</f>
        <v>NotApplicable</v>
      </c>
      <c r="U21" s="27" t="s">
        <v>1750</v>
      </c>
      <c r="V21" s="27" t="b">
        <f>ISNUMBER(SEARCH(",",F21))</f>
        <v>0</v>
      </c>
    </row>
    <row r="22" spans="1:22" ht="30" x14ac:dyDescent="0.25">
      <c r="A22" s="27" t="str">
        <f>IF(ISBLANK(N22)=TRUE,"Pending","Done")</f>
        <v>Done</v>
      </c>
      <c r="B22" s="27" t="s">
        <v>310</v>
      </c>
      <c r="C22" s="27">
        <v>0</v>
      </c>
      <c r="D22" s="27" t="str">
        <f>SUBSTITUTE(TRIM(RIGHT(SUBSTITUTE(IF(RIGHT(B22,1)="/",LEFT(B22,LEN(B22)-1),B22),"/",REPT(" ",LEN(B22))),LEN(B22))),"-"," ")</f>
        <v>bdsm</v>
      </c>
      <c r="E22" s="27" t="s">
        <v>1748</v>
      </c>
      <c r="F22" s="27" t="s">
        <v>1749</v>
      </c>
      <c r="G22" s="27" t="s">
        <v>70</v>
      </c>
      <c r="H22" s="27" t="s">
        <v>1750</v>
      </c>
      <c r="I22" s="27" t="s">
        <v>1750</v>
      </c>
      <c r="J22" s="27" t="s">
        <v>1750</v>
      </c>
      <c r="K22" s="27" t="s">
        <v>1750</v>
      </c>
      <c r="L22" s="27" t="s">
        <v>346</v>
      </c>
      <c r="M22" s="27" t="s">
        <v>366</v>
      </c>
      <c r="N22" s="27" t="s">
        <v>65</v>
      </c>
      <c r="O22" s="27">
        <v>8</v>
      </c>
      <c r="P22" s="27" t="s">
        <v>319</v>
      </c>
      <c r="Q22" s="27" t="str" cm="1">
        <f t="array" ref="Q22">_xlfn.REGEXEXTRACT(B22,"(?&lt;=//)[^/]+")</f>
        <v>www.tubebdsm.com</v>
      </c>
      <c r="R22" s="27" t="s">
        <v>685</v>
      </c>
      <c r="S22" s="27" t="s">
        <v>1750</v>
      </c>
      <c r="T22" s="27" t="str" cm="1">
        <f t="array" ref="T22">IF(S22&lt;&gt;"NotApplicable",_xlfn.REGEXEXTRACT(S22,"\d+(?=p)"),"NotApplicable")</f>
        <v>NotApplicable</v>
      </c>
      <c r="U22" s="27" t="s">
        <v>1750</v>
      </c>
      <c r="V22" s="27" t="b">
        <f>ISNUMBER(SEARCH(",",F22))</f>
        <v>0</v>
      </c>
    </row>
    <row r="23" spans="1:22" ht="30" x14ac:dyDescent="0.25">
      <c r="A23" s="27" t="str">
        <f>IF(ISBLANK(N23)=TRUE,"Pending","Done")</f>
        <v>Done</v>
      </c>
      <c r="B23" s="27" t="s">
        <v>723</v>
      </c>
      <c r="C23" s="27">
        <v>55</v>
      </c>
      <c r="D23" s="27" t="str">
        <f>SUBSTITUTE(TRIM(RIGHT(SUBSTITUTE(IF(RIGHT(B23,1)="/",LEFT(B23,LEN(B23)-1),B23),"/",REPT(" ",LEN(B23))),LEN(B23))),"-"," ")</f>
        <v>trinity post everythingbutt</v>
      </c>
      <c r="E23" s="27" t="s">
        <v>851</v>
      </c>
      <c r="F23" s="27" t="s">
        <v>724</v>
      </c>
      <c r="G23" s="27" t="s">
        <v>70</v>
      </c>
      <c r="H23" s="27" t="s">
        <v>2217</v>
      </c>
      <c r="I23" s="27" t="s">
        <v>2216</v>
      </c>
      <c r="J23" s="27" t="s">
        <v>1750</v>
      </c>
      <c r="K23" s="27" t="s">
        <v>1750</v>
      </c>
      <c r="L23" s="27" t="s">
        <v>821</v>
      </c>
      <c r="M23" s="27" t="s">
        <v>819</v>
      </c>
      <c r="N23" s="27" t="s">
        <v>65</v>
      </c>
      <c r="O23" s="27">
        <v>8</v>
      </c>
      <c r="P23" s="27" t="s">
        <v>820</v>
      </c>
      <c r="Q23" s="27" t="str" cm="1">
        <f t="array" ref="Q23">_xlfn.REGEXEXTRACT(B23,"(?&lt;=//)[^/]+")</f>
        <v>heavyfetish.com</v>
      </c>
      <c r="R23" s="27" t="s">
        <v>685</v>
      </c>
      <c r="S23" s="27" t="s">
        <v>1750</v>
      </c>
      <c r="T23" s="27" t="str" cm="1">
        <f t="array" ref="T23">IF(S23&lt;&gt;"NotApplicable",_xlfn.REGEXEXTRACT(S23,"\d+(?=p)"),"NotApplicable")</f>
        <v>NotApplicable</v>
      </c>
      <c r="U23" s="27" t="s">
        <v>1750</v>
      </c>
      <c r="V23" s="27" t="b">
        <f>ISNUMBER(SEARCH(",",F23))</f>
        <v>0</v>
      </c>
    </row>
    <row r="24" spans="1:22" ht="45" x14ac:dyDescent="0.25">
      <c r="A24" s="27" t="str">
        <f>IF(ISBLANK(N24)=TRUE,"Pending","Done")</f>
        <v>Done</v>
      </c>
      <c r="B24" s="27" t="s">
        <v>317</v>
      </c>
      <c r="C24" s="27">
        <v>53</v>
      </c>
      <c r="D24" s="27" t="str">
        <f>SUBSTITUTE(TRIM(RIGHT(SUBSTITUTE(IF(RIGHT(B24,1)="/",LEFT(B24,LEN(B24)-1),B24),"/",REPT(" ",LEN(B24))),LEN(B24))),"-"," ")</f>
        <v>?campaign_id=520379779</v>
      </c>
      <c r="E24" s="27" t="s">
        <v>845</v>
      </c>
      <c r="F24" s="27" t="s">
        <v>318</v>
      </c>
      <c r="G24" s="27" t="s">
        <v>70</v>
      </c>
      <c r="H24" s="27" t="s">
        <v>2219</v>
      </c>
      <c r="I24" s="27" t="s">
        <v>2218</v>
      </c>
      <c r="J24" s="27" t="s">
        <v>1750</v>
      </c>
      <c r="K24" s="27" t="s">
        <v>1750</v>
      </c>
      <c r="L24" s="27" t="s">
        <v>478</v>
      </c>
      <c r="M24" s="27" t="s">
        <v>639</v>
      </c>
      <c r="N24" s="27" t="s">
        <v>65</v>
      </c>
      <c r="O24" s="27">
        <v>8</v>
      </c>
      <c r="P24" s="27" t="s">
        <v>507</v>
      </c>
      <c r="Q24" s="27" t="str" cm="1">
        <f t="array" ref="Q24">_xlfn.REGEXEXTRACT(B24,"(?&lt;=//)[^/]+")</f>
        <v>abxxx.com</v>
      </c>
      <c r="R24" s="27" t="s">
        <v>685</v>
      </c>
      <c r="S24" s="27" t="s">
        <v>1750</v>
      </c>
      <c r="T24" s="27" t="str" cm="1">
        <f t="array" ref="T24">IF(S24&lt;&gt;"NotApplicable",_xlfn.REGEXEXTRACT(S24,"\d+(?=p)"),"NotApplicable")</f>
        <v>NotApplicable</v>
      </c>
      <c r="U24" s="27" t="s">
        <v>1750</v>
      </c>
      <c r="V24" s="27" t="b">
        <f>ISNUMBER(SEARCH(",",F24))</f>
        <v>0</v>
      </c>
    </row>
    <row r="25" spans="1:22" ht="30" x14ac:dyDescent="0.25">
      <c r="A25" s="27" t="str">
        <f>IF(ISBLANK(N25)=TRUE,"Pending","Done")</f>
        <v>Done</v>
      </c>
      <c r="B25" s="27" t="s">
        <v>1506</v>
      </c>
      <c r="C25" s="27">
        <v>31</v>
      </c>
      <c r="D25" s="27" t="str">
        <f>SUBSTITUTE(TRIM(RIGHT(SUBSTITUTE(IF(RIGHT(B25,1)="/",LEFT(B25,LEN(B25)-1),B25),"/",REPT(" ",LEN(B25))),LEN(B25))),"-"," ")</f>
        <v>20111 Hegre art_ _Kiki_ _Volcano_Orgasm_Massage.html</v>
      </c>
      <c r="E25" s="27" t="s">
        <v>1507</v>
      </c>
      <c r="F25" s="27" t="s">
        <v>168</v>
      </c>
      <c r="G25" s="27" t="s">
        <v>166</v>
      </c>
      <c r="H25" s="27" t="s">
        <v>1509</v>
      </c>
      <c r="I25" s="27" t="s">
        <v>1510</v>
      </c>
      <c r="J25" s="27" t="s">
        <v>1750</v>
      </c>
      <c r="K25" s="27" t="s">
        <v>1750</v>
      </c>
      <c r="L25" s="27" t="s">
        <v>357</v>
      </c>
      <c r="M25" s="27" t="s">
        <v>79</v>
      </c>
      <c r="N25" s="27" t="s">
        <v>65</v>
      </c>
      <c r="O25" s="27">
        <v>8</v>
      </c>
      <c r="P25" s="27" t="s">
        <v>2132</v>
      </c>
      <c r="Q25" s="27" t="str" cm="1">
        <f t="array" ref="Q25">_xlfn.REGEXEXTRACT(B25,"(?&lt;=//)[^/]+")</f>
        <v>m.hqporner.com</v>
      </c>
      <c r="R25" s="27" t="s">
        <v>684</v>
      </c>
      <c r="S25" s="27" t="s">
        <v>1508</v>
      </c>
      <c r="T25" s="27" t="str" cm="1">
        <f t="array" ref="T25">IF(S25&lt;&gt;"NotApplicable",_xlfn.REGEXEXTRACT(S25,"\d+(?=p)"),"NotApplicable")</f>
        <v>720</v>
      </c>
      <c r="U25" s="27" t="s">
        <v>2687</v>
      </c>
      <c r="V25" s="27" t="b">
        <f>ISNUMBER(SEARCH(",",F25))</f>
        <v>0</v>
      </c>
    </row>
    <row r="26" spans="1:22" ht="75" x14ac:dyDescent="0.25">
      <c r="A26" s="27" t="str">
        <f>IF(ISBLANK(N26)=TRUE,"Pending","Done")</f>
        <v>Done</v>
      </c>
      <c r="B26" s="27" t="s">
        <v>442</v>
      </c>
      <c r="C26" s="27">
        <v>51</v>
      </c>
      <c r="D26" s="27" t="str">
        <f>SUBSTITUTE(TRIM(RIGHT(SUBSTITUTE(IF(RIGHT(B26,1)="/",LEFT(B26,LEN(B26)-1),B26),"/",REPT(" ",LEN(B26))),LEN(B26))),"-"," ")</f>
        <v>08 04 04 5181 daisy marie aiden starr daisy s promotion</v>
      </c>
      <c r="E26" s="27" t="s">
        <v>847</v>
      </c>
      <c r="F26" s="27" t="s">
        <v>447</v>
      </c>
      <c r="G26" s="27" t="s">
        <v>71</v>
      </c>
      <c r="H26" s="27" t="s">
        <v>2242</v>
      </c>
      <c r="I26" s="27" t="s">
        <v>2241</v>
      </c>
      <c r="J26" s="27" t="s">
        <v>1750</v>
      </c>
      <c r="K26" s="27" t="s">
        <v>1750</v>
      </c>
      <c r="L26" s="27" t="s">
        <v>1692</v>
      </c>
      <c r="M26" s="27" t="s">
        <v>663</v>
      </c>
      <c r="N26" s="27" t="s">
        <v>65</v>
      </c>
      <c r="O26" s="27">
        <v>7</v>
      </c>
      <c r="P26" s="27" t="s">
        <v>664</v>
      </c>
      <c r="Q26" s="27" t="str" cm="1">
        <f t="array" ref="Q26">_xlfn.REGEXEXTRACT(B26,"(?&lt;=//)[^/]+")</f>
        <v>bdsmmansion.com</v>
      </c>
      <c r="R26" s="27" t="s">
        <v>685</v>
      </c>
      <c r="S26" s="27" t="s">
        <v>1750</v>
      </c>
      <c r="T26" s="27" t="str" cm="1">
        <f t="array" ref="T26">IF(S26&lt;&gt;"NotApplicable",_xlfn.REGEXEXTRACT(S26,"\d+(?=p)"),"NotApplicable")</f>
        <v>NotApplicable</v>
      </c>
      <c r="U26" s="27" t="s">
        <v>1750</v>
      </c>
      <c r="V26" s="27" t="b">
        <f>ISNUMBER(SEARCH(",",F26))</f>
        <v>1</v>
      </c>
    </row>
    <row r="27" spans="1:22" ht="45" x14ac:dyDescent="0.25">
      <c r="A27" s="27" t="str">
        <f>IF(ISBLANK(N27)=TRUE,"Pending","Done")</f>
        <v>Done</v>
      </c>
      <c r="B27" s="27" t="s">
        <v>1667</v>
      </c>
      <c r="C27" s="27">
        <v>46</v>
      </c>
      <c r="D27" s="27" t="str">
        <f>SUBSTITUTE(TRIM(RIGHT(SUBSTITUTE(IF(RIGHT(B27,1)="/",LEFT(B27,LEN(B27)-1),B27),"/",REPT(" ",LEN(B27))),LEN(B27))),"-"," ")</f>
        <v>ariel x and gia dimarco lezdom hd</v>
      </c>
      <c r="E27" s="27" t="s">
        <v>849</v>
      </c>
      <c r="F27" s="27" t="s">
        <v>324</v>
      </c>
      <c r="G27" s="27" t="s">
        <v>71</v>
      </c>
      <c r="H27" s="27" t="s">
        <v>2262</v>
      </c>
      <c r="I27" s="27" t="s">
        <v>2261</v>
      </c>
      <c r="J27" s="27" t="s">
        <v>1750</v>
      </c>
      <c r="K27" s="27" t="s">
        <v>1750</v>
      </c>
      <c r="L27" s="27" t="s">
        <v>1702</v>
      </c>
      <c r="M27" s="27" t="s">
        <v>370</v>
      </c>
      <c r="N27" s="27" t="s">
        <v>65</v>
      </c>
      <c r="O27" s="27">
        <v>7</v>
      </c>
      <c r="P27" s="27" t="s">
        <v>552</v>
      </c>
      <c r="Q27" s="27" t="str" cm="1">
        <f t="array" ref="Q27">_xlfn.REGEXEXTRACT(B27,"(?&lt;=//)[^/]+")</f>
        <v>bdsmstreak.com</v>
      </c>
      <c r="R27" s="27" t="s">
        <v>685</v>
      </c>
      <c r="S27" s="27" t="s">
        <v>1750</v>
      </c>
      <c r="T27" s="27" t="str" cm="1">
        <f t="array" ref="T27">IF(S27&lt;&gt;"NotApplicable",_xlfn.REGEXEXTRACT(S27,"\d+(?=p)"),"NotApplicable")</f>
        <v>NotApplicable</v>
      </c>
      <c r="U27" s="27" t="s">
        <v>1750</v>
      </c>
      <c r="V27" s="27" t="b">
        <f>ISNUMBER(SEARCH(",",F27))</f>
        <v>1</v>
      </c>
    </row>
    <row r="28" spans="1:22" ht="30" x14ac:dyDescent="0.25">
      <c r="A28" s="27" t="str">
        <f>IF(ISBLANK(N28)=TRUE,"Pending","Done")</f>
        <v>Done</v>
      </c>
      <c r="B28" s="27" t="s">
        <v>91</v>
      </c>
      <c r="C28" s="27">
        <v>48</v>
      </c>
      <c r="D28" s="27" t="str">
        <f>SUBSTITUTE(TRIM(RIGHT(SUBSTITUTE(IF(RIGHT(B28,1)="/",LEFT(B28,LEN(B28)-1),B28),"/",REPT(" ",LEN(B28))),LEN(B28))),"-"," ")</f>
        <v>infernal restraints curious elise bonus</v>
      </c>
      <c r="E28" s="27" t="s">
        <v>97</v>
      </c>
      <c r="F28" s="27" t="s">
        <v>98</v>
      </c>
      <c r="G28" s="27" t="s">
        <v>71</v>
      </c>
      <c r="H28" s="27" t="s">
        <v>2250</v>
      </c>
      <c r="I28" s="27" t="s">
        <v>2249</v>
      </c>
      <c r="J28" s="27" t="s">
        <v>1750</v>
      </c>
      <c r="K28" s="27" t="s">
        <v>1750</v>
      </c>
      <c r="L28" s="27" t="s">
        <v>347</v>
      </c>
      <c r="M28" s="27" t="s">
        <v>99</v>
      </c>
      <c r="N28" s="27" t="s">
        <v>65</v>
      </c>
      <c r="O28" s="27">
        <v>7</v>
      </c>
      <c r="P28" s="27" t="s">
        <v>516</v>
      </c>
      <c r="Q28" s="27" t="str" cm="1">
        <f t="array" ref="Q28">_xlfn.REGEXEXTRACT(B28,"(?&lt;=//)[^/]+")</f>
        <v>heavyfetish.com</v>
      </c>
      <c r="R28" s="27" t="s">
        <v>685</v>
      </c>
      <c r="S28" s="27" t="s">
        <v>1750</v>
      </c>
      <c r="T28" s="27" t="str" cm="1">
        <f t="array" ref="T28">IF(S28&lt;&gt;"NotApplicable",_xlfn.REGEXEXTRACT(S28,"\d+(?=p)"),"NotApplicable")</f>
        <v>NotApplicable</v>
      </c>
      <c r="U28" s="27" t="s">
        <v>1750</v>
      </c>
      <c r="V28" s="27" t="b">
        <f>ISNUMBER(SEARCH(",",F28))</f>
        <v>0</v>
      </c>
    </row>
    <row r="29" spans="1:22" ht="30" x14ac:dyDescent="0.25">
      <c r="A29" s="27" t="str">
        <f>IF(ISBLANK(N29)=TRUE,"Pending","Done")</f>
        <v>Done</v>
      </c>
      <c r="B29" s="27" t="s">
        <v>92</v>
      </c>
      <c r="C29" s="27">
        <v>24</v>
      </c>
      <c r="D29" s="27" t="str">
        <f>SUBSTITUTE(TRIM(RIGHT(SUBSTITUTE(IF(RIGHT(B29,1)="/",LEFT(B29,LEN(B29)-1),B29),"/",REPT(" ",LEN(B29))),LEN(B29))),"-"," ")</f>
        <v>queensnake long march jessica jessica tanita</v>
      </c>
      <c r="E29" s="27" t="s">
        <v>93</v>
      </c>
      <c r="F29" s="27" t="s">
        <v>340</v>
      </c>
      <c r="G29" s="27" t="s">
        <v>71</v>
      </c>
      <c r="H29" s="27" t="s">
        <v>2269</v>
      </c>
      <c r="I29" s="27" t="s">
        <v>2268</v>
      </c>
      <c r="J29" s="27" t="s">
        <v>1750</v>
      </c>
      <c r="K29" s="27" t="s">
        <v>1750</v>
      </c>
      <c r="L29" s="27" t="s">
        <v>1705</v>
      </c>
      <c r="M29" s="27" t="s">
        <v>107</v>
      </c>
      <c r="N29" s="27" t="s">
        <v>65</v>
      </c>
      <c r="O29" s="27">
        <v>7</v>
      </c>
      <c r="P29" s="27" t="s">
        <v>108</v>
      </c>
      <c r="Q29" s="27" t="str" cm="1">
        <f t="array" ref="Q29">_xlfn.REGEXEXTRACT(B29,"(?&lt;=//)[^/]+")</f>
        <v>heavyfetish.com</v>
      </c>
      <c r="R29" s="27" t="s">
        <v>685</v>
      </c>
      <c r="S29" s="27" t="s">
        <v>1750</v>
      </c>
      <c r="T29" s="27" t="str" cm="1">
        <f t="array" ref="T29">IF(S29&lt;&gt;"NotApplicable",_xlfn.REGEXEXTRACT(S29,"\d+(?=p)"),"NotApplicable")</f>
        <v>NotApplicable</v>
      </c>
      <c r="U29" s="27" t="s">
        <v>1750</v>
      </c>
      <c r="V29" s="27" t="b">
        <f>ISNUMBER(SEARCH(",",F29))</f>
        <v>1</v>
      </c>
    </row>
    <row r="30" spans="1:22" ht="45" x14ac:dyDescent="0.25">
      <c r="A30" s="27" t="str">
        <f>IF(ISBLANK(N30)=TRUE,"Pending","Done")</f>
        <v>Done</v>
      </c>
      <c r="B30" s="27" t="s">
        <v>776</v>
      </c>
      <c r="C30" s="27">
        <v>51</v>
      </c>
      <c r="D30" s="27" t="str">
        <f>SUBSTITUTE(TRIM(RIGHT(SUBSTITUTE(IF(RIGHT(B30,1)="/",LEFT(B30,LEN(B30)-1),B30),"/",REPT(" ",LEN(B30))),LEN(B30))),"-"," ")</f>
        <v>whippedass a double debut leah gotti madelynn may</v>
      </c>
      <c r="E30" s="27" t="s">
        <v>847</v>
      </c>
      <c r="F30" s="27" t="s">
        <v>777</v>
      </c>
      <c r="G30" s="27" t="s">
        <v>71</v>
      </c>
      <c r="H30" s="27" t="s">
        <v>2248</v>
      </c>
      <c r="I30" s="27" t="s">
        <v>2247</v>
      </c>
      <c r="J30" s="27" t="s">
        <v>1750</v>
      </c>
      <c r="K30" s="27" t="s">
        <v>1750</v>
      </c>
      <c r="L30" s="27" t="s">
        <v>1709</v>
      </c>
      <c r="M30" s="27" t="s">
        <v>818</v>
      </c>
      <c r="N30" s="27" t="s">
        <v>65</v>
      </c>
      <c r="O30" s="27">
        <v>7</v>
      </c>
      <c r="P30" s="27" t="s">
        <v>817</v>
      </c>
      <c r="Q30" s="27" t="str" cm="1">
        <f t="array" ref="Q30">_xlfn.REGEXEXTRACT(B30,"(?&lt;=//)[^/]+")</f>
        <v>heavyfetish.com</v>
      </c>
      <c r="R30" s="27" t="s">
        <v>685</v>
      </c>
      <c r="S30" s="27" t="s">
        <v>1750</v>
      </c>
      <c r="T30" s="27" t="str" cm="1">
        <f t="array" ref="T30">IF(S30&lt;&gt;"NotApplicable",_xlfn.REGEXEXTRACT(S30,"\d+(?=p)"),"NotApplicable")</f>
        <v>NotApplicable</v>
      </c>
      <c r="U30" s="27" t="s">
        <v>1750</v>
      </c>
      <c r="V30" s="27" t="b">
        <f>ISNUMBER(SEARCH(",",F30))</f>
        <v>1</v>
      </c>
    </row>
    <row r="31" spans="1:22" ht="45" x14ac:dyDescent="0.25">
      <c r="A31" s="27" t="str">
        <f>IF(ISBLANK(N31)=TRUE,"Pending","Done")</f>
        <v>Done</v>
      </c>
      <c r="B31" s="27" t="s">
        <v>1494</v>
      </c>
      <c r="C31" s="27">
        <v>77</v>
      </c>
      <c r="D31" s="27" t="str">
        <f>SUBSTITUTE(TRIM(RIGHT(SUBSTITUTE(IF(RIGHT(B31,1)="/",LEFT(B31,LEN(B31)-1),B31),"/",REPT(" ",LEN(B31))),LEN(B31))),"-"," ")</f>
        <v>wired pussy nineteen year old beauty princess donna dolore lily labeau</v>
      </c>
      <c r="E31" s="27" t="s">
        <v>848</v>
      </c>
      <c r="F31" s="27" t="s">
        <v>1495</v>
      </c>
      <c r="G31" s="27" t="s">
        <v>71</v>
      </c>
      <c r="H31" s="27" t="s">
        <v>2232</v>
      </c>
      <c r="I31" s="27" t="s">
        <v>2231</v>
      </c>
      <c r="J31" s="27" t="s">
        <v>1750</v>
      </c>
      <c r="K31" s="27" t="s">
        <v>1750</v>
      </c>
      <c r="L31" s="27" t="s">
        <v>1710</v>
      </c>
      <c r="M31" s="27" t="s">
        <v>1502</v>
      </c>
      <c r="N31" s="27" t="s">
        <v>65</v>
      </c>
      <c r="O31" s="27">
        <v>7</v>
      </c>
      <c r="P31" s="27" t="s">
        <v>1503</v>
      </c>
      <c r="Q31" s="27" t="str" cm="1">
        <f t="array" ref="Q31">_xlfn.REGEXEXTRACT(B31,"(?&lt;=//)[^/]+")</f>
        <v>heavyfetish.com</v>
      </c>
      <c r="R31" s="27" t="s">
        <v>685</v>
      </c>
      <c r="S31" s="27" t="s">
        <v>1750</v>
      </c>
      <c r="T31" s="27" t="str" cm="1">
        <f t="array" ref="T31">IF(S31&lt;&gt;"NotApplicable",_xlfn.REGEXEXTRACT(S31,"\d+(?=p)"),"NotApplicable")</f>
        <v>NotApplicable</v>
      </c>
      <c r="U31" s="27" t="s">
        <v>1750</v>
      </c>
      <c r="V31" s="27" t="b">
        <f>ISNUMBER(SEARCH(",",F31))</f>
        <v>1</v>
      </c>
    </row>
    <row r="32" spans="1:22" ht="30" x14ac:dyDescent="0.25">
      <c r="A32" s="27" t="str">
        <f>IF(ISBLANK(N32)=TRUE,"Pending","Done")</f>
        <v>Done</v>
      </c>
      <c r="B32" s="27" t="s">
        <v>264</v>
      </c>
      <c r="C32" s="27">
        <v>0</v>
      </c>
      <c r="D32" s="27" t="str">
        <f>SUBSTITUTE(TRIM(RIGHT(SUBSTITUTE(IF(RIGHT(B32,1)="/",LEFT(B32,LEN(B32)-1),B32),"/",REPT(" ",LEN(B32))),LEN(B32))),"-"," ")</f>
        <v>beeg.com</v>
      </c>
      <c r="E32" s="27" t="s">
        <v>1748</v>
      </c>
      <c r="F32" s="27" t="s">
        <v>1749</v>
      </c>
      <c r="G32" s="27" t="s">
        <v>279</v>
      </c>
      <c r="H32" s="27" t="s">
        <v>1750</v>
      </c>
      <c r="I32" s="27" t="s">
        <v>1750</v>
      </c>
      <c r="J32" s="27" t="s">
        <v>1750</v>
      </c>
      <c r="K32" s="27" t="s">
        <v>1750</v>
      </c>
      <c r="L32" s="27" t="s">
        <v>59</v>
      </c>
      <c r="M32" s="27" t="s">
        <v>381</v>
      </c>
      <c r="N32" s="27" t="s">
        <v>65</v>
      </c>
      <c r="O32" s="27">
        <v>7</v>
      </c>
      <c r="P32" s="27" t="s">
        <v>289</v>
      </c>
      <c r="Q32" s="27" t="str" cm="1">
        <f t="array" ref="Q32">_xlfn.REGEXEXTRACT(B32,"(?&lt;=//)[^/]+")</f>
        <v>beeg.com</v>
      </c>
      <c r="R32" s="27" t="s">
        <v>685</v>
      </c>
      <c r="S32" s="27" t="s">
        <v>1750</v>
      </c>
      <c r="T32" s="27" t="str" cm="1">
        <f t="array" ref="T32">IF(S32&lt;&gt;"NotApplicable",_xlfn.REGEXEXTRACT(S32,"\d+(?=p)"),"NotApplicable")</f>
        <v>NotApplicable</v>
      </c>
      <c r="U32" s="27" t="s">
        <v>1750</v>
      </c>
      <c r="V32" s="27" t="b">
        <f>ISNUMBER(SEARCH(",",F32))</f>
        <v>0</v>
      </c>
    </row>
    <row r="33" spans="1:22" ht="30" x14ac:dyDescent="0.25">
      <c r="A33" s="27" t="str">
        <f>IF(ISBLANK(N33)=TRUE,"Pending","Done")</f>
        <v>Done</v>
      </c>
      <c r="B33" s="27" t="s">
        <v>265</v>
      </c>
      <c r="C33" s="27">
        <v>0</v>
      </c>
      <c r="D33" s="27" t="str">
        <f>SUBSTITUTE(TRIM(RIGHT(SUBSTITUTE(IF(RIGHT(B33,1)="/",LEFT(B33,LEN(B33)-1),B33),"/",REPT(" ",LEN(B33))),LEN(B33))),"-"," ")</f>
        <v>www.fuq.com</v>
      </c>
      <c r="E33" s="27" t="s">
        <v>1748</v>
      </c>
      <c r="F33" s="27" t="s">
        <v>1749</v>
      </c>
      <c r="G33" s="27" t="s">
        <v>279</v>
      </c>
      <c r="H33" s="27" t="s">
        <v>1750</v>
      </c>
      <c r="I33" s="27" t="s">
        <v>1750</v>
      </c>
      <c r="J33" s="27" t="s">
        <v>1750</v>
      </c>
      <c r="K33" s="27" t="s">
        <v>1750</v>
      </c>
      <c r="L33" s="27" t="s">
        <v>59</v>
      </c>
      <c r="M33" s="27" t="s">
        <v>381</v>
      </c>
      <c r="N33" s="27" t="s">
        <v>65</v>
      </c>
      <c r="O33" s="27">
        <v>7</v>
      </c>
      <c r="P33" s="27" t="s">
        <v>290</v>
      </c>
      <c r="Q33" s="27" t="str" cm="1">
        <f t="array" ref="Q33">_xlfn.REGEXEXTRACT(B33,"(?&lt;=//)[^/]+")</f>
        <v>www.fuq.com</v>
      </c>
      <c r="R33" s="27" t="s">
        <v>685</v>
      </c>
      <c r="S33" s="27" t="s">
        <v>1750</v>
      </c>
      <c r="T33" s="27" t="str" cm="1">
        <f t="array" ref="T33">IF(S33&lt;&gt;"NotApplicable",_xlfn.REGEXEXTRACT(S33,"\d+(?=p)"),"NotApplicable")</f>
        <v>NotApplicable</v>
      </c>
      <c r="U33" s="27" t="s">
        <v>1750</v>
      </c>
      <c r="V33" s="27" t="b">
        <f>ISNUMBER(SEARCH(",",F33))</f>
        <v>0</v>
      </c>
    </row>
    <row r="34" spans="1:22" ht="30" x14ac:dyDescent="0.25">
      <c r="A34" s="27" t="str">
        <f>IF(ISBLANK(N34)=TRUE,"Pending","Done")</f>
        <v>Done</v>
      </c>
      <c r="B34" s="27" t="s">
        <v>764</v>
      </c>
      <c r="C34" s="27">
        <v>57</v>
      </c>
      <c r="D34" s="27" t="str">
        <f>SUBSTITUTE(TRIM(RIGHT(SUBSTITUTE(IF(RIGHT(B34,1)="/",LEFT(B34,LEN(B34)-1),B34),"/",REPT(" ",LEN(B34))),LEN(B34))),"-"," ")</f>
        <v>adria rae femdom scene</v>
      </c>
      <c r="E34" s="27" t="s">
        <v>842</v>
      </c>
      <c r="F34" s="27" t="s">
        <v>287</v>
      </c>
      <c r="G34" s="27" t="s">
        <v>81</v>
      </c>
      <c r="H34" s="27" t="s">
        <v>2235</v>
      </c>
      <c r="I34" s="27" t="s">
        <v>2236</v>
      </c>
      <c r="J34" s="27" t="s">
        <v>1750</v>
      </c>
      <c r="K34" s="27" t="s">
        <v>1750</v>
      </c>
      <c r="L34" s="27" t="s">
        <v>491</v>
      </c>
      <c r="M34" s="27" t="s">
        <v>363</v>
      </c>
      <c r="N34" s="27" t="s">
        <v>65</v>
      </c>
      <c r="O34" s="27">
        <v>7</v>
      </c>
      <c r="P34" s="27" t="s">
        <v>514</v>
      </c>
      <c r="Q34" s="27" t="str" cm="1">
        <f t="array" ref="Q34">_xlfn.REGEXEXTRACT(B34,"(?&lt;=//)[^/]+")</f>
        <v>bdsmmansion.com</v>
      </c>
      <c r="R34" s="27" t="s">
        <v>685</v>
      </c>
      <c r="S34" s="27" t="s">
        <v>1750</v>
      </c>
      <c r="T34" s="27" t="str" cm="1">
        <f t="array" ref="T34">IF(S34&lt;&gt;"NotApplicable",_xlfn.REGEXEXTRACT(S34,"\d+(?=p)"),"NotApplicable")</f>
        <v>NotApplicable</v>
      </c>
      <c r="U34" s="27" t="s">
        <v>1750</v>
      </c>
      <c r="V34" s="27" t="b">
        <f>ISNUMBER(SEARCH(",",F34))</f>
        <v>0</v>
      </c>
    </row>
    <row r="35" spans="1:22" ht="45" x14ac:dyDescent="0.25">
      <c r="A35" s="27" t="str">
        <f>IF(ISBLANK(N35)=TRUE,"Pending","Done")</f>
        <v>Done</v>
      </c>
      <c r="B35" s="27" t="s">
        <v>2251</v>
      </c>
      <c r="C35" s="27">
        <v>48</v>
      </c>
      <c r="D35" s="27" t="str">
        <f>SUBSTITUTE(TRIM(RIGHT(SUBSTITUTE(IF(RIGHT(B35,1)="/",LEFT(B35,LEN(B35)-1),B35),"/",REPT(" ",LEN(B35))),LEN(B35))),"-"," ")</f>
        <v>106509</v>
      </c>
      <c r="E35" s="27" t="s">
        <v>852</v>
      </c>
      <c r="F35" s="27" t="s">
        <v>430</v>
      </c>
      <c r="G35" s="27" t="s">
        <v>81</v>
      </c>
      <c r="H35" s="27" t="s">
        <v>2252</v>
      </c>
      <c r="I35" s="27" t="s">
        <v>2252</v>
      </c>
      <c r="J35" s="27" t="s">
        <v>1750</v>
      </c>
      <c r="K35" s="27" t="s">
        <v>1750</v>
      </c>
      <c r="L35" s="27" t="s">
        <v>524</v>
      </c>
      <c r="M35" s="27" t="s">
        <v>618</v>
      </c>
      <c r="N35" s="27" t="s">
        <v>65</v>
      </c>
      <c r="O35" s="27">
        <v>7</v>
      </c>
      <c r="P35" s="27" t="s">
        <v>467</v>
      </c>
      <c r="Q35" s="27" t="str" cm="1">
        <f t="array" ref="Q35">_xlfn.REGEXEXTRACT(B35,"(?&lt;=//)[^/]+")</f>
        <v>www.kink.com</v>
      </c>
      <c r="R35" s="27" t="s">
        <v>685</v>
      </c>
      <c r="S35" s="27" t="s">
        <v>1750</v>
      </c>
      <c r="T35" s="27" t="str" cm="1">
        <f t="array" ref="T35">IF(S35&lt;&gt;"NotApplicable",_xlfn.REGEXEXTRACT(S35,"\d+(?=p)"),"NotApplicable")</f>
        <v>NotApplicable</v>
      </c>
      <c r="U35" s="27" t="s">
        <v>1750</v>
      </c>
      <c r="V35" s="27" t="b">
        <f>ISNUMBER(SEARCH(",",F35))</f>
        <v>0</v>
      </c>
    </row>
    <row r="36" spans="1:22" ht="30" x14ac:dyDescent="0.25">
      <c r="A36" s="27" t="str">
        <f>IF(ISBLANK(N36)=TRUE,"Pending","Done")</f>
        <v>Done</v>
      </c>
      <c r="B36" s="27" t="s">
        <v>272</v>
      </c>
      <c r="C36" s="27">
        <v>46</v>
      </c>
      <c r="D36" s="27" t="str">
        <f>SUBSTITUTE(TRIM(RIGHT(SUBSTITUTE(IF(RIGHT(B36,1)="/",LEFT(B36,LEN(B36)-1),B36),"/",REPT(" ",LEN(B36))),LEN(B36))),"-"," ")</f>
        <v>divine bitches training of a bitchboy</v>
      </c>
      <c r="E36" s="27" t="s">
        <v>852</v>
      </c>
      <c r="F36" s="27" t="s">
        <v>2259</v>
      </c>
      <c r="G36" s="27" t="s">
        <v>81</v>
      </c>
      <c r="H36" s="27" t="s">
        <v>2260</v>
      </c>
      <c r="I36" s="27" t="s">
        <v>2257</v>
      </c>
      <c r="J36" s="27" t="s">
        <v>1750</v>
      </c>
      <c r="K36" s="27" t="s">
        <v>1750</v>
      </c>
      <c r="L36" s="27" t="s">
        <v>460</v>
      </c>
      <c r="M36" s="27" t="s">
        <v>594</v>
      </c>
      <c r="N36" s="27" t="s">
        <v>65</v>
      </c>
      <c r="O36" s="27">
        <v>7</v>
      </c>
      <c r="P36" s="27" t="s">
        <v>457</v>
      </c>
      <c r="Q36" s="27" t="str" cm="1">
        <f t="array" ref="Q36">_xlfn.REGEXEXTRACT(B36,"(?&lt;=//)[^/]+")</f>
        <v>heavyfetish.com</v>
      </c>
      <c r="R36" s="27" t="s">
        <v>685</v>
      </c>
      <c r="S36" s="27" t="s">
        <v>1750</v>
      </c>
      <c r="T36" s="27" t="str" cm="1">
        <f t="array" ref="T36">IF(S36&lt;&gt;"NotApplicable",_xlfn.REGEXEXTRACT(S36,"\d+(?=p)"),"NotApplicable")</f>
        <v>NotApplicable</v>
      </c>
      <c r="U36" s="27" t="s">
        <v>1750</v>
      </c>
      <c r="V36" s="27" t="b">
        <f>ISNUMBER(SEARCH(",",F36))</f>
        <v>0</v>
      </c>
    </row>
    <row r="37" spans="1:22" ht="45" x14ac:dyDescent="0.25">
      <c r="A37" s="27" t="str">
        <f>IF(ISBLANK(N37)=TRUE,"Pending","Done")</f>
        <v>Done</v>
      </c>
      <c r="B37" s="27" t="s">
        <v>315</v>
      </c>
      <c r="C37" s="27">
        <v>44</v>
      </c>
      <c r="D37" s="27" t="str">
        <f>SUBSTITUTE(TRIM(RIGHT(SUBSTITUTE(IF(RIGHT(B37,1)="/",LEFT(B37,LEN(B37)-1),B37),"/",REPT(" ",LEN(B37))),LEN(B37))),"-"," ")</f>
        <v>?utm_source=pbweb&amp;utm_campaign=pbweb</v>
      </c>
      <c r="E37" s="27" t="s">
        <v>852</v>
      </c>
      <c r="F37" s="27" t="s">
        <v>2266</v>
      </c>
      <c r="G37" s="27" t="s">
        <v>81</v>
      </c>
      <c r="H37" s="27" t="s">
        <v>2265</v>
      </c>
      <c r="I37" s="27" t="s">
        <v>2264</v>
      </c>
      <c r="J37" s="27" t="s">
        <v>1750</v>
      </c>
      <c r="K37" s="27" t="s">
        <v>1750</v>
      </c>
      <c r="L37" s="27" t="s">
        <v>482</v>
      </c>
      <c r="M37" s="27" t="s">
        <v>417</v>
      </c>
      <c r="N37" s="27" t="s">
        <v>65</v>
      </c>
      <c r="O37" s="27">
        <v>7</v>
      </c>
      <c r="P37" s="27" t="s">
        <v>510</v>
      </c>
      <c r="Q37" s="27" t="str" cm="1">
        <f t="array" ref="Q37">_xlfn.REGEXEXTRACT(B37,"(?&lt;=//)[^/]+")</f>
        <v>www.fapcat.com</v>
      </c>
      <c r="R37" s="27" t="s">
        <v>685</v>
      </c>
      <c r="S37" s="27" t="s">
        <v>1750</v>
      </c>
      <c r="T37" s="27" t="str" cm="1">
        <f t="array" ref="T37">IF(S37&lt;&gt;"NotApplicable",_xlfn.REGEXEXTRACT(S37,"\d+(?=p)"),"NotApplicable")</f>
        <v>NotApplicable</v>
      </c>
      <c r="U37" s="27" t="s">
        <v>1750</v>
      </c>
      <c r="V37" s="27" t="b">
        <f>ISNUMBER(SEARCH(",",F37))</f>
        <v>0</v>
      </c>
    </row>
    <row r="38" spans="1:22" ht="30" x14ac:dyDescent="0.25">
      <c r="A38" s="27" t="str">
        <f>IF(ISBLANK(N38)=TRUE,"Pending","Done")</f>
        <v>Done</v>
      </c>
      <c r="B38" s="27" t="s">
        <v>266</v>
      </c>
      <c r="C38" s="27">
        <v>0</v>
      </c>
      <c r="D38" s="27" t="str">
        <f>SUBSTITUTE(TRIM(RIGHT(SUBSTITUTE(IF(RIGHT(B38,1)="/",LEFT(B38,LEN(B38)-1),B38),"/",REPT(" ",LEN(B38))),LEN(B38))),"-"," ")</f>
        <v>FemdomEmpire</v>
      </c>
      <c r="E38" s="27" t="s">
        <v>445</v>
      </c>
      <c r="F38" s="27" t="s">
        <v>1749</v>
      </c>
      <c r="G38" s="27" t="s">
        <v>81</v>
      </c>
      <c r="H38" s="27" t="s">
        <v>1750</v>
      </c>
      <c r="I38" s="27" t="s">
        <v>1750</v>
      </c>
      <c r="J38" s="27" t="s">
        <v>1750</v>
      </c>
      <c r="K38" s="27" t="s">
        <v>1750</v>
      </c>
      <c r="L38" s="27" t="s">
        <v>714</v>
      </c>
      <c r="M38" s="27" t="s">
        <v>593</v>
      </c>
      <c r="N38" s="27" t="s">
        <v>65</v>
      </c>
      <c r="O38" s="27">
        <v>7</v>
      </c>
      <c r="P38" s="27" t="s">
        <v>281</v>
      </c>
      <c r="Q38" s="27" t="str" cm="1">
        <f t="array" ref="Q38">_xlfn.REGEXEXTRACT(B38,"(?&lt;=//)[^/]+")</f>
        <v>beeg.com</v>
      </c>
      <c r="R38" s="27" t="s">
        <v>685</v>
      </c>
      <c r="S38" s="27" t="s">
        <v>1750</v>
      </c>
      <c r="T38" s="27" t="str" cm="1">
        <f t="array" ref="T38">IF(S38&lt;&gt;"NotApplicable",_xlfn.REGEXEXTRACT(S38,"\d+(?=p)"),"NotApplicable")</f>
        <v>NotApplicable</v>
      </c>
      <c r="U38" s="27" t="s">
        <v>1750</v>
      </c>
      <c r="V38" s="27" t="b">
        <f>ISNUMBER(SEARCH(",",F38))</f>
        <v>0</v>
      </c>
    </row>
    <row r="39" spans="1:22" ht="30" x14ac:dyDescent="0.25">
      <c r="A39" s="27" t="str">
        <f>IF(ISBLANK(N39)=TRUE,"Pending","Done")</f>
        <v>Done</v>
      </c>
      <c r="B39" s="27" t="s">
        <v>297</v>
      </c>
      <c r="C39" s="27">
        <v>0</v>
      </c>
      <c r="D39" s="27" t="str">
        <f>SUBSTITUTE(TRIM(RIGHT(SUBSTITUTE(IF(RIGHT(B39,1)="/",LEFT(B39,LEN(B39)-1),B39),"/",REPT(" ",LEN(B39))),LEN(B39))),"-"," ")</f>
        <v>videos.php?p=1&amp;s=l&amp;spon=divine bitches kink</v>
      </c>
      <c r="E39" s="27" t="s">
        <v>852</v>
      </c>
      <c r="F39" s="27" t="s">
        <v>1749</v>
      </c>
      <c r="G39" s="27" t="s">
        <v>81</v>
      </c>
      <c r="H39" s="27" t="s">
        <v>1750</v>
      </c>
      <c r="I39" s="27" t="s">
        <v>1750</v>
      </c>
      <c r="J39" s="27" t="s">
        <v>1750</v>
      </c>
      <c r="K39" s="27" t="s">
        <v>1750</v>
      </c>
      <c r="L39" s="27" t="s">
        <v>504</v>
      </c>
      <c r="M39" s="27" t="s">
        <v>369</v>
      </c>
      <c r="N39" s="27" t="s">
        <v>65</v>
      </c>
      <c r="O39" s="27">
        <v>7</v>
      </c>
      <c r="P39" s="27" t="s">
        <v>298</v>
      </c>
      <c r="Q39" s="27" t="str" cm="1">
        <f t="array" ref="Q39">_xlfn.REGEXEXTRACT(B39,"(?&lt;=//)[^/]+")</f>
        <v>www.pornhits.com</v>
      </c>
      <c r="R39" s="27" t="s">
        <v>685</v>
      </c>
      <c r="S39" s="27" t="s">
        <v>1750</v>
      </c>
      <c r="T39" s="27" t="str" cm="1">
        <f t="array" ref="T39">IF(S39&lt;&gt;"NotApplicable",_xlfn.REGEXEXTRACT(S39,"\d+(?=p)"),"NotApplicable")</f>
        <v>NotApplicable</v>
      </c>
      <c r="U39" s="27" t="s">
        <v>1750</v>
      </c>
      <c r="V39" s="27" t="b">
        <f>ISNUMBER(SEARCH(",",F39))</f>
        <v>0</v>
      </c>
    </row>
    <row r="40" spans="1:22" ht="30" x14ac:dyDescent="0.25">
      <c r="A40" s="27" t="str">
        <f>IF(ISBLANK(N40)=TRUE,"Pending","Done")</f>
        <v>Done</v>
      </c>
      <c r="B40" s="27" t="s">
        <v>251</v>
      </c>
      <c r="C40" s="27">
        <v>0</v>
      </c>
      <c r="D40" s="27" t="str">
        <f>SUBSTITUTE(TRIM(RIGHT(SUBSTITUTE(IF(RIGHT(B40,1)="/",LEFT(B40,LEN(B40)-1),B40),"/",REPT(" ",LEN(B40))),LEN(B40))),"-"," ")</f>
        <v>divine bitches</v>
      </c>
      <c r="E40" s="27" t="s">
        <v>852</v>
      </c>
      <c r="F40" s="27" t="s">
        <v>1749</v>
      </c>
      <c r="G40" s="27" t="s">
        <v>81</v>
      </c>
      <c r="H40" s="27" t="s">
        <v>1750</v>
      </c>
      <c r="I40" s="27" t="s">
        <v>1750</v>
      </c>
      <c r="J40" s="27" t="s">
        <v>1750</v>
      </c>
      <c r="K40" s="27" t="s">
        <v>1750</v>
      </c>
      <c r="L40" s="27" t="s">
        <v>455</v>
      </c>
      <c r="M40" s="27" t="s">
        <v>699</v>
      </c>
      <c r="N40" s="27" t="s">
        <v>65</v>
      </c>
      <c r="O40" s="27">
        <v>7</v>
      </c>
      <c r="P40" s="27" t="s">
        <v>252</v>
      </c>
      <c r="Q40" s="27" t="str" cm="1">
        <f t="array" ref="Q40">_xlfn.REGEXEXTRACT(B40,"(?&lt;=//)[^/]+")</f>
        <v>www.txxx.porn</v>
      </c>
      <c r="R40" s="27" t="s">
        <v>685</v>
      </c>
      <c r="S40" s="27" t="s">
        <v>1750</v>
      </c>
      <c r="T40" s="27" t="str" cm="1">
        <f t="array" ref="T40">IF(S40&lt;&gt;"NotApplicable",_xlfn.REGEXEXTRACT(S40,"\d+(?=p)"),"NotApplicable")</f>
        <v>NotApplicable</v>
      </c>
      <c r="U40" s="27" t="s">
        <v>1750</v>
      </c>
      <c r="V40" s="27" t="b">
        <f>ISNUMBER(SEARCH(",",F40))</f>
        <v>0</v>
      </c>
    </row>
    <row r="41" spans="1:22" ht="30" x14ac:dyDescent="0.25">
      <c r="A41" s="27" t="str">
        <f>IF(ISBLANK(N41)=TRUE,"Pending","Done")</f>
        <v>Done</v>
      </c>
      <c r="B41" s="27" t="s">
        <v>668</v>
      </c>
      <c r="C41" s="27">
        <v>31</v>
      </c>
      <c r="D41" s="27" t="str">
        <f>SUBSTITUTE(TRIM(RIGHT(SUBSTITUTE(IF(RIGHT(B41,1)="/",LEFT(B41,LEN(B41)-1),B41),"/",REPT(" ",LEN(B41))),LEN(B41))),"-"," ")</f>
        <v>?utm_source=donnie</v>
      </c>
      <c r="E41" s="27" t="s">
        <v>1747</v>
      </c>
      <c r="F41" s="27" t="s">
        <v>1749</v>
      </c>
      <c r="G41" s="27" t="s">
        <v>197</v>
      </c>
      <c r="H41" s="27" t="s">
        <v>2267</v>
      </c>
      <c r="I41" s="27" t="s">
        <v>2267</v>
      </c>
      <c r="J41" s="27" t="s">
        <v>1750</v>
      </c>
      <c r="K41" s="27" t="s">
        <v>1750</v>
      </c>
      <c r="L41" s="27" t="s">
        <v>672</v>
      </c>
      <c r="M41" s="27" t="s">
        <v>795</v>
      </c>
      <c r="N41" s="27" t="s">
        <v>65</v>
      </c>
      <c r="O41" s="27">
        <v>7</v>
      </c>
      <c r="P41" s="27" t="s">
        <v>794</v>
      </c>
      <c r="Q41" s="27" t="str" cm="1">
        <f t="array" ref="Q41">_xlfn.REGEXEXTRACT(B41,"(?&lt;=//)[^/]+")</f>
        <v>www.amateur8.com</v>
      </c>
      <c r="R41" s="27" t="s">
        <v>685</v>
      </c>
      <c r="S41" s="27" t="s">
        <v>1750</v>
      </c>
      <c r="T41" s="27" t="str" cm="1">
        <f t="array" ref="T41">IF(S41&lt;&gt;"NotApplicable",_xlfn.REGEXEXTRACT(S41,"\d+(?=p)"),"NotApplicable")</f>
        <v>NotApplicable</v>
      </c>
      <c r="U41" s="27" t="s">
        <v>1750</v>
      </c>
      <c r="V41" s="27" t="b">
        <f>ISNUMBER(SEARCH(",",F41))</f>
        <v>0</v>
      </c>
    </row>
    <row r="42" spans="1:22" ht="30" x14ac:dyDescent="0.25">
      <c r="A42" s="27" t="str">
        <f>IF(ISBLANK(N42)=TRUE,"Pending","Done")</f>
        <v>Done</v>
      </c>
      <c r="B42" s="27" t="s">
        <v>1661</v>
      </c>
      <c r="C42" s="27">
        <v>85</v>
      </c>
      <c r="D42" s="27" t="str">
        <f>SUBSTITUTE(TRIM(RIGHT(SUBSTITUTE(IF(RIGHT(B42,1)="/",LEFT(B42,LEN(B42)-1),B42),"/",REPT(" ",LEN(B42))),LEN(B42))),"-"," ")</f>
        <v>my stepmother is a secret sex slave</v>
      </c>
      <c r="E42" s="27" t="s">
        <v>1574</v>
      </c>
      <c r="F42" s="27" t="s">
        <v>323</v>
      </c>
      <c r="G42" s="27" t="s">
        <v>69</v>
      </c>
      <c r="H42" s="27" t="s">
        <v>2230</v>
      </c>
      <c r="I42" s="27" t="s">
        <v>2229</v>
      </c>
      <c r="J42" s="27" t="s">
        <v>1750</v>
      </c>
      <c r="K42" s="27" t="s">
        <v>1750</v>
      </c>
      <c r="L42" s="27" t="s">
        <v>1733</v>
      </c>
      <c r="M42" s="27" t="s">
        <v>584</v>
      </c>
      <c r="N42" s="27" t="s">
        <v>65</v>
      </c>
      <c r="O42" s="27">
        <v>7</v>
      </c>
      <c r="P42" s="27" t="s">
        <v>101</v>
      </c>
      <c r="Q42" s="27" t="str" cm="1">
        <f t="array" ref="Q42">_xlfn.REGEXEXTRACT(B42,"(?&lt;=//)[^/]+")</f>
        <v>bdsmstreak.com</v>
      </c>
      <c r="R42" s="27" t="s">
        <v>685</v>
      </c>
      <c r="S42" s="27" t="s">
        <v>1750</v>
      </c>
      <c r="T42" s="27" t="str" cm="1">
        <f t="array" ref="T42">IF(S42&lt;&gt;"NotApplicable",_xlfn.REGEXEXTRACT(S42,"\d+(?=p)"),"NotApplicable")</f>
        <v>NotApplicable</v>
      </c>
      <c r="U42" s="27" t="s">
        <v>1750</v>
      </c>
      <c r="V42" s="27" t="b">
        <f>ISNUMBER(SEARCH(",",F42))</f>
        <v>1</v>
      </c>
    </row>
    <row r="43" spans="1:22" ht="30" x14ac:dyDescent="0.25">
      <c r="A43" s="27" t="str">
        <f>IF(ISBLANK(N43)=TRUE,"Pending","Done")</f>
        <v>Done</v>
      </c>
      <c r="B43" s="27" t="s">
        <v>309</v>
      </c>
      <c r="C43" s="27">
        <v>0</v>
      </c>
      <c r="D43" s="27" t="str">
        <f>SUBSTITUTE(TRIM(RIGHT(SUBSTITUTE(IF(RIGHT(B43,1)="/",LEFT(B43,LEN(B43)-1),B43),"/",REPT(" ",LEN(B43))),LEN(B43))),"-"," ")</f>
        <v>pretty</v>
      </c>
      <c r="E43" s="27" t="s">
        <v>1748</v>
      </c>
      <c r="F43" s="27" t="s">
        <v>1749</v>
      </c>
      <c r="G43" s="27" t="s">
        <v>155</v>
      </c>
      <c r="H43" s="27" t="s">
        <v>1750</v>
      </c>
      <c r="I43" s="27" t="s">
        <v>1750</v>
      </c>
      <c r="J43" s="27" t="s">
        <v>1750</v>
      </c>
      <c r="K43" s="27" t="s">
        <v>1750</v>
      </c>
      <c r="L43" s="27" t="s">
        <v>349</v>
      </c>
      <c r="M43" s="27" t="s">
        <v>371</v>
      </c>
      <c r="N43" s="27" t="s">
        <v>65</v>
      </c>
      <c r="O43" s="27">
        <v>7</v>
      </c>
      <c r="P43" s="27" t="s">
        <v>316</v>
      </c>
      <c r="Q43" s="27" t="str" cm="1">
        <f t="array" ref="Q43">_xlfn.REGEXEXTRACT(B43,"(?&lt;=//)[^/]+")</f>
        <v>www.tubebdsm.com</v>
      </c>
      <c r="R43" s="27" t="s">
        <v>685</v>
      </c>
      <c r="S43" s="27" t="s">
        <v>1750</v>
      </c>
      <c r="T43" s="27" t="str" cm="1">
        <f t="array" ref="T43">IF(S43&lt;&gt;"NotApplicable",_xlfn.REGEXEXTRACT(S43,"\d+(?=p)"),"NotApplicable")</f>
        <v>NotApplicable</v>
      </c>
      <c r="U43" s="27" t="s">
        <v>1750</v>
      </c>
      <c r="V43" s="27" t="b">
        <f>ISNUMBER(SEARCH(",",F43))</f>
        <v>0</v>
      </c>
    </row>
    <row r="44" spans="1:22" ht="45" x14ac:dyDescent="0.25">
      <c r="A44" s="27" t="str">
        <f>IF(ISBLANK(N44)=TRUE,"Pending","Done")</f>
        <v>Done</v>
      </c>
      <c r="B44" s="27" t="s">
        <v>128</v>
      </c>
      <c r="C44" s="27">
        <v>47</v>
      </c>
      <c r="D44" s="27" t="str">
        <f>SUBSTITUTE(TRIM(RIGHT(SUBSTITUTE(IF(RIGHT(B44,1)="/",LEFT(B44,LEN(B44)-1),B44),"/",REPT(" ",LEN(B44))),LEN(B44))),"-"," ")</f>
        <v>melody marks</v>
      </c>
      <c r="E44" s="27" t="s">
        <v>146</v>
      </c>
      <c r="F44" s="27" t="s">
        <v>167</v>
      </c>
      <c r="G44" s="27" t="s">
        <v>70</v>
      </c>
      <c r="H44" s="27" t="s">
        <v>2256</v>
      </c>
      <c r="I44" s="27" t="s">
        <v>2255</v>
      </c>
      <c r="J44" s="27" t="s">
        <v>1750</v>
      </c>
      <c r="K44" s="27" t="s">
        <v>1750</v>
      </c>
      <c r="L44" s="27" t="s">
        <v>570</v>
      </c>
      <c r="M44" s="27" t="s">
        <v>611</v>
      </c>
      <c r="N44" s="27" t="s">
        <v>65</v>
      </c>
      <c r="O44" s="27">
        <v>7</v>
      </c>
      <c r="P44" s="27" t="s">
        <v>582</v>
      </c>
      <c r="Q44" s="27" t="str" cm="1">
        <f t="array" ref="Q44">_xlfn.REGEXEXTRACT(B44,"(?&lt;=//)[^/]+")</f>
        <v>bdsmstreak.com</v>
      </c>
      <c r="R44" s="27" t="s">
        <v>685</v>
      </c>
      <c r="S44" s="27" t="s">
        <v>1750</v>
      </c>
      <c r="T44" s="27" t="str" cm="1">
        <f t="array" ref="T44">IF(S44&lt;&gt;"NotApplicable",_xlfn.REGEXEXTRACT(S44,"\d+(?=p)"),"NotApplicable")</f>
        <v>NotApplicable</v>
      </c>
      <c r="U44" s="27" t="s">
        <v>1750</v>
      </c>
      <c r="V44" s="27" t="b">
        <f>ISNUMBER(SEARCH(",",F44))</f>
        <v>0</v>
      </c>
    </row>
    <row r="45" spans="1:22" ht="30" x14ac:dyDescent="0.25">
      <c r="A45" s="27" t="str">
        <f>IF(ISBLANK(N45)=TRUE,"Pending","Done")</f>
        <v>Done</v>
      </c>
      <c r="B45" s="27" t="s">
        <v>733</v>
      </c>
      <c r="C45" s="27">
        <v>0</v>
      </c>
      <c r="D45" s="27" t="str">
        <f>SUBSTITUTE(TRIM(RIGHT(SUBSTITUTE(IF(RIGHT(B45,1)="/",LEFT(B45,LEN(B45)-1),B45),"/",REPT(" ",LEN(B45))),LEN(B45))),"-"," ")</f>
        <v>felony</v>
      </c>
      <c r="E45" s="27" t="s">
        <v>1748</v>
      </c>
      <c r="F45" s="27" t="s">
        <v>734</v>
      </c>
      <c r="G45" s="27" t="s">
        <v>70</v>
      </c>
      <c r="H45" s="27" t="s">
        <v>1750</v>
      </c>
      <c r="I45" s="27" t="s">
        <v>1750</v>
      </c>
      <c r="J45" s="27" t="s">
        <v>1750</v>
      </c>
      <c r="K45" s="27" t="s">
        <v>1750</v>
      </c>
      <c r="L45" s="27" t="s">
        <v>738</v>
      </c>
      <c r="M45" s="27" t="s">
        <v>740</v>
      </c>
      <c r="N45" s="27" t="s">
        <v>65</v>
      </c>
      <c r="O45" s="27">
        <v>7</v>
      </c>
      <c r="P45" s="27" t="s">
        <v>735</v>
      </c>
      <c r="Q45" s="27" t="str" cm="1">
        <f t="array" ref="Q45">_xlfn.REGEXEXTRACT(B45,"(?&lt;=//)[^/]+")</f>
        <v>bdsmmansion.com</v>
      </c>
      <c r="R45" s="27" t="s">
        <v>685</v>
      </c>
      <c r="S45" s="27" t="s">
        <v>1750</v>
      </c>
      <c r="T45" s="27" t="str" cm="1">
        <f t="array" ref="T45">IF(S45&lt;&gt;"NotApplicable",_xlfn.REGEXEXTRACT(S45,"\d+(?=p)"),"NotApplicable")</f>
        <v>NotApplicable</v>
      </c>
      <c r="U45" s="27" t="s">
        <v>1750</v>
      </c>
      <c r="V45" s="27" t="b">
        <f>ISNUMBER(SEARCH(",",F45))</f>
        <v>0</v>
      </c>
    </row>
    <row r="46" spans="1:22" ht="30" x14ac:dyDescent="0.25">
      <c r="A46" s="27" t="str">
        <f>IF(ISBLANK(N46)=TRUE,"Pending","Done")</f>
        <v>Done</v>
      </c>
      <c r="B46" s="27" t="s">
        <v>1477</v>
      </c>
      <c r="C46" s="27">
        <v>0</v>
      </c>
      <c r="D46" s="27" t="str">
        <f>SUBSTITUTE(TRIM(RIGHT(SUBSTITUTE(IF(RIGHT(B46,1)="/",LEFT(B46,LEN(B46)-1),B46),"/",REPT(" ",LEN(B46))),LEN(B46))),"-"," ")</f>
        <v>search?q=felony</v>
      </c>
      <c r="E46" s="27" t="s">
        <v>1748</v>
      </c>
      <c r="F46" s="27" t="s">
        <v>734</v>
      </c>
      <c r="G46" s="27" t="s">
        <v>70</v>
      </c>
      <c r="H46" s="27" t="s">
        <v>1750</v>
      </c>
      <c r="I46" s="27" t="s">
        <v>1750</v>
      </c>
      <c r="J46" s="27" t="s">
        <v>1750</v>
      </c>
      <c r="K46" s="27" t="s">
        <v>1750</v>
      </c>
      <c r="L46" s="27" t="s">
        <v>1484</v>
      </c>
      <c r="M46" s="27" t="s">
        <v>1483</v>
      </c>
      <c r="N46" s="27" t="s">
        <v>65</v>
      </c>
      <c r="O46" s="27">
        <v>7</v>
      </c>
      <c r="P46" s="27" t="s">
        <v>1485</v>
      </c>
      <c r="Q46" s="27" t="str" cm="1">
        <f t="array" ref="Q46">_xlfn.REGEXEXTRACT(B46,"(?&lt;=//)[^/]+")</f>
        <v>bdsmstreak.com</v>
      </c>
      <c r="R46" s="27" t="s">
        <v>685</v>
      </c>
      <c r="S46" s="27" t="s">
        <v>1750</v>
      </c>
      <c r="T46" s="27" t="str" cm="1">
        <f t="array" ref="T46">IF(S46&lt;&gt;"NotApplicable",_xlfn.REGEXEXTRACT(S46,"\d+(?=p)"),"NotApplicable")</f>
        <v>NotApplicable</v>
      </c>
      <c r="U46" s="27" t="s">
        <v>1750</v>
      </c>
      <c r="V46" s="27" t="b">
        <f>ISNUMBER(SEARCH(",",F46))</f>
        <v>0</v>
      </c>
    </row>
    <row r="47" spans="1:22" ht="30" x14ac:dyDescent="0.25">
      <c r="A47" s="27" t="str">
        <f>IF(ISBLANK(N47)=TRUE,"Pending","Done")</f>
        <v>Done</v>
      </c>
      <c r="B47" s="27" t="s">
        <v>654</v>
      </c>
      <c r="C47" s="27">
        <v>0</v>
      </c>
      <c r="D47" s="27" t="str">
        <f>SUBSTITUTE(TRIM(RIGHT(SUBSTITUTE(IF(RIGHT(B47,1)="/",LEFT(B47,LEN(B47)-1),B47),"/",REPT(" ",LEN(B47))),LEN(B47))),"-"," ")</f>
        <v>Peterboni</v>
      </c>
      <c r="E47" s="27" t="s">
        <v>1748</v>
      </c>
      <c r="F47" s="27" t="s">
        <v>1749</v>
      </c>
      <c r="G47" s="27" t="s">
        <v>70</v>
      </c>
      <c r="H47" s="27" t="s">
        <v>1750</v>
      </c>
      <c r="I47" s="27" t="s">
        <v>1750</v>
      </c>
      <c r="J47" s="27" t="s">
        <v>1750</v>
      </c>
      <c r="K47" s="27" t="s">
        <v>1750</v>
      </c>
      <c r="L47" s="27" t="s">
        <v>656</v>
      </c>
      <c r="M47" s="27" t="s">
        <v>657</v>
      </c>
      <c r="N47" s="27" t="s">
        <v>65</v>
      </c>
      <c r="O47" s="27">
        <v>7</v>
      </c>
      <c r="P47" s="27" t="s">
        <v>655</v>
      </c>
      <c r="Q47" s="27" t="str" cm="1">
        <f t="array" ref="Q47">_xlfn.REGEXEXTRACT(B47,"(?&lt;=//)[^/]+")</f>
        <v>www.eporner.com</v>
      </c>
      <c r="R47" s="27" t="s">
        <v>685</v>
      </c>
      <c r="S47" s="27" t="s">
        <v>1750</v>
      </c>
      <c r="T47" s="27" t="str" cm="1">
        <f t="array" ref="T47">IF(S47&lt;&gt;"NotApplicable",_xlfn.REGEXEXTRACT(S47,"\d+(?=p)"),"NotApplicable")</f>
        <v>NotApplicable</v>
      </c>
      <c r="U47" s="27" t="s">
        <v>1750</v>
      </c>
      <c r="V47" s="27" t="b">
        <f>ISNUMBER(SEARCH(",",F47))</f>
        <v>0</v>
      </c>
    </row>
    <row r="48" spans="1:22" ht="30" x14ac:dyDescent="0.25">
      <c r="A48" s="27" t="str">
        <f>IF(ISBLANK(N48)=TRUE,"Pending","Done")</f>
        <v>Done</v>
      </c>
      <c r="B48" s="27" t="s">
        <v>1751</v>
      </c>
      <c r="C48" s="27">
        <v>48</v>
      </c>
      <c r="D48" s="27" t="str">
        <f>SUBSTITUTE(TRIM(RIGHT(SUBSTITUTE(IF(RIGHT(B48,1)="/",LEFT(B48,LEN(B48)-1),B48),"/",REPT(" ",LEN(B48))),LEN(B48))),"-"," ")</f>
        <v>ashley lane pain slut brutally tormented in device bondage</v>
      </c>
      <c r="E48" s="27" t="s">
        <v>853</v>
      </c>
      <c r="F48" s="27" t="s">
        <v>1752</v>
      </c>
      <c r="G48" s="27" t="s">
        <v>70</v>
      </c>
      <c r="H48" s="27" t="s">
        <v>2254</v>
      </c>
      <c r="I48" s="27" t="s">
        <v>2253</v>
      </c>
      <c r="J48" s="27" t="s">
        <v>1750</v>
      </c>
      <c r="K48" s="27" t="s">
        <v>1750</v>
      </c>
      <c r="L48" s="27" t="s">
        <v>1755</v>
      </c>
      <c r="M48" s="27" t="s">
        <v>1753</v>
      </c>
      <c r="N48" s="27" t="s">
        <v>65</v>
      </c>
      <c r="O48" s="27">
        <v>7</v>
      </c>
      <c r="P48" s="27" t="s">
        <v>1754</v>
      </c>
      <c r="Q48" s="27" t="str" cm="1">
        <f t="array" ref="Q48">_xlfn.REGEXEXTRACT(B48,"(?&lt;=//)[^/]+")</f>
        <v>bdsmstreak.com</v>
      </c>
      <c r="R48" s="27" t="s">
        <v>685</v>
      </c>
      <c r="S48" s="27" t="s">
        <v>1750</v>
      </c>
      <c r="T48" s="27" t="str" cm="1">
        <f t="array" ref="T48">IF(S48&lt;&gt;"NotApplicable",_xlfn.REGEXEXTRACT(S48,"\d+(?=p)"),"NotApplicable")</f>
        <v>NotApplicable</v>
      </c>
      <c r="U48" s="27" t="s">
        <v>1750</v>
      </c>
      <c r="V48" s="27" t="b">
        <f>ISNUMBER(SEARCH(",",F48))</f>
        <v>0</v>
      </c>
    </row>
    <row r="49" spans="1:22" ht="30" x14ac:dyDescent="0.25">
      <c r="A49" s="27" t="str">
        <f>IF(ISBLANK(N49)=TRUE,"Pending","Done")</f>
        <v>Done</v>
      </c>
      <c r="B49" s="27" t="s">
        <v>2532</v>
      </c>
      <c r="C49" s="27">
        <v>45</v>
      </c>
      <c r="D49" s="27" t="str">
        <f>SUBSTITUTE(TRIM(RIGHT(SUBSTITUTE(IF(RIGHT(B49,1)="/",LEFT(B49,LEN(B49)-1),B49),"/",REPT(" ",LEN(B49))),LEN(B49))),"-"," ")</f>
        <v>face down ass up x 2</v>
      </c>
      <c r="E49" s="27" t="s">
        <v>853</v>
      </c>
      <c r="F49" s="27" t="s">
        <v>687</v>
      </c>
      <c r="G49" s="27" t="s">
        <v>70</v>
      </c>
      <c r="H49" s="27" t="s">
        <v>2263</v>
      </c>
      <c r="I49" s="27" t="s">
        <v>2263</v>
      </c>
      <c r="J49" s="27" t="s">
        <v>1750</v>
      </c>
      <c r="K49" s="27" t="s">
        <v>1750</v>
      </c>
      <c r="L49" s="27" t="s">
        <v>1722</v>
      </c>
      <c r="M49" s="27" t="s">
        <v>743</v>
      </c>
      <c r="N49" s="27" t="s">
        <v>65</v>
      </c>
      <c r="O49" s="27">
        <v>7</v>
      </c>
      <c r="P49" s="27" t="s">
        <v>744</v>
      </c>
      <c r="Q49" s="27" t="str" cm="1">
        <f t="array" ref="Q49">_xlfn.REGEXEXTRACT(B49,"(?&lt;=//)[^/]+")</f>
        <v>bdsmstreak.com</v>
      </c>
      <c r="R49" s="27" t="s">
        <v>685</v>
      </c>
      <c r="S49" s="27" t="s">
        <v>1750</v>
      </c>
      <c r="T49" s="27" t="str" cm="1">
        <f t="array" ref="T49">IF(S49&lt;&gt;"NotApplicable",_xlfn.REGEXEXTRACT(S49,"\d+(?=p)"),"NotApplicable")</f>
        <v>NotApplicable</v>
      </c>
      <c r="U49" s="27" t="s">
        <v>1750</v>
      </c>
      <c r="V49" s="27" t="b">
        <f>ISNUMBER(SEARCH(",",F49))</f>
        <v>1</v>
      </c>
    </row>
    <row r="50" spans="1:22" ht="30" x14ac:dyDescent="0.25">
      <c r="A50" s="27" t="str">
        <f>IF(ISBLANK(N50)=TRUE,"Pending","Done")</f>
        <v>Done</v>
      </c>
      <c r="B50" s="27" t="s">
        <v>118</v>
      </c>
      <c r="C50" s="27">
        <v>56</v>
      </c>
      <c r="D50" s="27" t="str">
        <f>SUBSTITUTE(TRIM(RIGHT(SUBSTITUTE(IF(RIGHT(B50,1)="/",LEFT(B50,LEN(B50)-1),B50),"/",REPT(" ",LEN(B50))),LEN(B50))),"-"," ")</f>
        <v>111874 pain_does_get_her_going_further.html</v>
      </c>
      <c r="E50" s="27" t="s">
        <v>853</v>
      </c>
      <c r="F50" s="27" t="s">
        <v>221</v>
      </c>
      <c r="G50" s="27" t="s">
        <v>70</v>
      </c>
      <c r="H50" s="27" t="s">
        <v>2238</v>
      </c>
      <c r="I50" s="27" t="s">
        <v>2237</v>
      </c>
      <c r="J50" s="27" t="s">
        <v>1750</v>
      </c>
      <c r="K50" s="27" t="s">
        <v>1750</v>
      </c>
      <c r="L50" s="27" t="s">
        <v>564</v>
      </c>
      <c r="M50" s="27" t="s">
        <v>587</v>
      </c>
      <c r="N50" s="27" t="s">
        <v>65</v>
      </c>
      <c r="O50" s="27">
        <v>7</v>
      </c>
      <c r="P50" s="27" t="s">
        <v>643</v>
      </c>
      <c r="Q50" s="27" t="str" cm="1">
        <f t="array" ref="Q50">_xlfn.REGEXEXTRACT(B50,"(?&lt;=//)[^/]+")</f>
        <v>m.hqporner.com</v>
      </c>
      <c r="R50" s="27" t="s">
        <v>685</v>
      </c>
      <c r="S50" s="27" t="s">
        <v>1750</v>
      </c>
      <c r="T50" s="27" t="str" cm="1">
        <f t="array" ref="T50">IF(S50&lt;&gt;"NotApplicable",_xlfn.REGEXEXTRACT(S50,"\d+(?=p)"),"NotApplicable")</f>
        <v>NotApplicable</v>
      </c>
      <c r="U50" s="27" t="s">
        <v>1750</v>
      </c>
      <c r="V50" s="27" t="b">
        <f>ISNUMBER(SEARCH(",",F50))</f>
        <v>0</v>
      </c>
    </row>
    <row r="51" spans="1:22" ht="30" x14ac:dyDescent="0.25">
      <c r="A51" s="27" t="str">
        <f>IF(ISBLANK(N51)=TRUE,"Pending","Done")</f>
        <v>Done</v>
      </c>
      <c r="B51" s="27" t="s">
        <v>33</v>
      </c>
      <c r="C51" s="27">
        <v>53</v>
      </c>
      <c r="D51" s="27" t="str">
        <f>SUBSTITUTE(TRIM(RIGHT(SUBSTITUTE(IF(RIGHT(B51,1)="/",LEFT(B51,LEN(B51)-1),B51),"/",REPT(" ",LEN(B51))),LEN(B51))),"-"," ")</f>
        <v>sensi pearl in devicebondage</v>
      </c>
      <c r="E51" s="27" t="s">
        <v>853</v>
      </c>
      <c r="F51" s="27" t="s">
        <v>189</v>
      </c>
      <c r="G51" s="27" t="s">
        <v>70</v>
      </c>
      <c r="H51" s="27" t="s">
        <v>2240</v>
      </c>
      <c r="I51" s="27" t="s">
        <v>2239</v>
      </c>
      <c r="J51" s="27" t="s">
        <v>1750</v>
      </c>
      <c r="K51" s="27" t="s">
        <v>1750</v>
      </c>
      <c r="L51" s="27" t="s">
        <v>681</v>
      </c>
      <c r="M51" s="27" t="s">
        <v>698</v>
      </c>
      <c r="N51" s="27" t="s">
        <v>65</v>
      </c>
      <c r="O51" s="27">
        <v>7</v>
      </c>
      <c r="P51" s="27" t="s">
        <v>76</v>
      </c>
      <c r="Q51" s="27" t="str" cm="1">
        <f t="array" ref="Q51">_xlfn.REGEXEXTRACT(B51,"(?&lt;=//)[^/]+")</f>
        <v>bdsmstreak.com</v>
      </c>
      <c r="R51" s="27" t="s">
        <v>685</v>
      </c>
      <c r="S51" s="27" t="s">
        <v>1750</v>
      </c>
      <c r="T51" s="27" t="str" cm="1">
        <f t="array" ref="T51">IF(S51&lt;&gt;"NotApplicable",_xlfn.REGEXEXTRACT(S51,"\d+(?=p)"),"NotApplicable")</f>
        <v>NotApplicable</v>
      </c>
      <c r="U51" s="27" t="s">
        <v>1750</v>
      </c>
      <c r="V51" s="27" t="b">
        <f>ISNUMBER(SEARCH(",",F51))</f>
        <v>0</v>
      </c>
    </row>
    <row r="52" spans="1:22" ht="45" x14ac:dyDescent="0.25">
      <c r="A52" s="27" t="str">
        <f>IF(ISBLANK(N52)=TRUE,"Pending","Done")</f>
        <v>Done</v>
      </c>
      <c r="B52" s="27" t="s">
        <v>120</v>
      </c>
      <c r="C52" s="27">
        <v>51</v>
      </c>
      <c r="D52" s="27" t="str">
        <f>SUBSTITUTE(TRIM(RIGHT(SUBSTITUTE(IF(RIGHT(B52,1)="/",LEFT(B52,LEN(B52)-1),B52),"/",REPT(" ",LEN(B52))),LEN(B52))),"-"," ")</f>
        <v>81716 squirt_alert_device_bondage.html</v>
      </c>
      <c r="E52" s="27" t="s">
        <v>853</v>
      </c>
      <c r="F52" s="27" t="s">
        <v>212</v>
      </c>
      <c r="G52" s="27" t="s">
        <v>70</v>
      </c>
      <c r="H52" s="27" t="s">
        <v>2244</v>
      </c>
      <c r="I52" s="27" t="s">
        <v>2243</v>
      </c>
      <c r="J52" s="27" t="s">
        <v>1750</v>
      </c>
      <c r="K52" s="27" t="s">
        <v>1750</v>
      </c>
      <c r="L52" s="27" t="s">
        <v>560</v>
      </c>
      <c r="M52" s="27" t="s">
        <v>368</v>
      </c>
      <c r="N52" s="27" t="s">
        <v>65</v>
      </c>
      <c r="O52" s="27">
        <v>7</v>
      </c>
      <c r="P52" s="27" t="s">
        <v>808</v>
      </c>
      <c r="Q52" s="27" t="str" cm="1">
        <f t="array" ref="Q52">_xlfn.REGEXEXTRACT(B52,"(?&lt;=//)[^/]+")</f>
        <v>m.hqporner.com</v>
      </c>
      <c r="R52" s="27" t="s">
        <v>685</v>
      </c>
      <c r="S52" s="27" t="s">
        <v>1750</v>
      </c>
      <c r="T52" s="27" t="str" cm="1">
        <f t="array" ref="T52">IF(S52&lt;&gt;"NotApplicable",_xlfn.REGEXEXTRACT(S52,"\d+(?=p)"),"NotApplicable")</f>
        <v>NotApplicable</v>
      </c>
      <c r="U52" s="27" t="s">
        <v>1750</v>
      </c>
      <c r="V52" s="27" t="b">
        <f>ISNUMBER(SEARCH(",",F52))</f>
        <v>0</v>
      </c>
    </row>
    <row r="53" spans="1:22" ht="45" x14ac:dyDescent="0.25">
      <c r="A53" s="27" t="str">
        <f>IF(ISBLANK(N53)=TRUE,"Pending","Done")</f>
        <v>Done</v>
      </c>
      <c r="B53" s="27" t="s">
        <v>20</v>
      </c>
      <c r="C53" s="27">
        <v>58</v>
      </c>
      <c r="D53" s="27" t="str">
        <f>SUBSTITUTE(TRIM(RIGHT(SUBSTITUTE(IF(RIGHT(B53,1)="/",LEFT(B53,LEN(B53)-1),B53),"/",REPT(" ",LEN(B53))),LEN(B53))),"-"," ")</f>
        <v>wenona jessie cox and isis love part 1 of 4 of the march live show</v>
      </c>
      <c r="E53" s="27" t="s">
        <v>853</v>
      </c>
      <c r="F53" s="27" t="s">
        <v>325</v>
      </c>
      <c r="G53" s="27" t="s">
        <v>70</v>
      </c>
      <c r="H53" s="27" t="s">
        <v>2360</v>
      </c>
      <c r="I53" s="27" t="s">
        <v>2359</v>
      </c>
      <c r="J53" s="27" t="s">
        <v>1750</v>
      </c>
      <c r="K53" s="27" t="s">
        <v>1750</v>
      </c>
      <c r="L53" s="27" t="s">
        <v>2361</v>
      </c>
      <c r="M53" s="27" t="s">
        <v>86</v>
      </c>
      <c r="N53" s="27" t="s">
        <v>65</v>
      </c>
      <c r="O53" s="27">
        <v>7</v>
      </c>
      <c r="P53" s="27" t="s">
        <v>88</v>
      </c>
      <c r="Q53" s="27" t="str" cm="1">
        <f t="array" ref="Q53">_xlfn.REGEXEXTRACT(B53,"(?&lt;=//)[^/]+")</f>
        <v>bdsmstreak.com</v>
      </c>
      <c r="R53" s="27" t="s">
        <v>685</v>
      </c>
      <c r="S53" s="27" t="s">
        <v>1750</v>
      </c>
      <c r="T53" s="27" t="str" cm="1">
        <f t="array" ref="T53">IF(S53&lt;&gt;"NotApplicable",_xlfn.REGEXEXTRACT(S53,"\d+(?=p)"),"NotApplicable")</f>
        <v>NotApplicable</v>
      </c>
      <c r="U53" s="27" t="s">
        <v>1750</v>
      </c>
      <c r="V53" s="27" t="b">
        <f>ISNUMBER(SEARCH(",",F53))</f>
        <v>1</v>
      </c>
    </row>
    <row r="54" spans="1:22" ht="45" x14ac:dyDescent="0.25">
      <c r="A54" s="27" t="str">
        <f>IF(ISBLANK(N54)=TRUE,"Pending","Done")</f>
        <v>Done</v>
      </c>
      <c r="B54" s="27" t="s">
        <v>2380</v>
      </c>
      <c r="C54" s="27">
        <v>55</v>
      </c>
      <c r="D54" s="27" t="str">
        <f>SUBSTITUTE(TRIM(RIGHT(SUBSTITUTE(IF(RIGHT(B54,1)="/",LEFT(B54,LEN(B54)-1),B54),"/",REPT(" ",LEN(B54))),LEN(B54))),"-"," ")</f>
        <v>return of the pain slut katrina colt</v>
      </c>
      <c r="E54" s="27" t="s">
        <v>849</v>
      </c>
      <c r="F54" s="27" t="s">
        <v>751</v>
      </c>
      <c r="G54" s="27" t="s">
        <v>70</v>
      </c>
      <c r="H54" s="27" t="s">
        <v>2379</v>
      </c>
      <c r="I54" s="27" t="s">
        <v>2379</v>
      </c>
      <c r="J54" s="27" t="s">
        <v>1750</v>
      </c>
      <c r="K54" s="27" t="s">
        <v>1750</v>
      </c>
      <c r="L54" s="27" t="s">
        <v>2383</v>
      </c>
      <c r="M54" s="27" t="s">
        <v>2381</v>
      </c>
      <c r="N54" s="27" t="s">
        <v>65</v>
      </c>
      <c r="O54" s="27">
        <v>7</v>
      </c>
      <c r="P54" s="27" t="s">
        <v>2382</v>
      </c>
      <c r="Q54" s="27" t="str" cm="1">
        <f t="array" ref="Q54">_xlfn.REGEXEXTRACT(B54,"(?&lt;=//)[^/]+")</f>
        <v>bdsmstreak.com</v>
      </c>
      <c r="R54" s="27" t="s">
        <v>685</v>
      </c>
      <c r="S54" s="27" t="s">
        <v>1750</v>
      </c>
      <c r="T54" s="27" t="str" cm="1">
        <f t="array" ref="T54">IF(S54&lt;&gt;"NotApplicable",_xlfn.REGEXEXTRACT(S54,"\d+(?=p)"),"NotApplicable")</f>
        <v>NotApplicable</v>
      </c>
      <c r="U54" s="27" t="s">
        <v>1750</v>
      </c>
      <c r="V54" s="27" t="b">
        <f>ISNUMBER(SEARCH(",",F54))</f>
        <v>0</v>
      </c>
    </row>
    <row r="55" spans="1:22" ht="45" x14ac:dyDescent="0.25">
      <c r="A55" s="27" t="str">
        <f>IF(ISBLANK(N55)=TRUE,"Pending","Done")</f>
        <v>Done</v>
      </c>
      <c r="B55" s="27" t="s">
        <v>686</v>
      </c>
      <c r="C55" s="27">
        <v>51</v>
      </c>
      <c r="D55" s="27" t="str">
        <f>SUBSTITUTE(TRIM(RIGHT(SUBSTITUTE(IF(RIGHT(B55,1)="/",LEFT(B55,LEN(B55)-1),B55),"/",REPT(" ",LEN(B55))),LEN(B55))),"-"," ")</f>
        <v>bondage fetish</v>
      </c>
      <c r="E55" s="27" t="s">
        <v>842</v>
      </c>
      <c r="F55" s="27" t="s">
        <v>725</v>
      </c>
      <c r="G55" s="27" t="s">
        <v>70</v>
      </c>
      <c r="H55" s="27" t="s">
        <v>2246</v>
      </c>
      <c r="I55" s="27" t="s">
        <v>2245</v>
      </c>
      <c r="J55" s="27" t="s">
        <v>1750</v>
      </c>
      <c r="K55" s="27" t="s">
        <v>1750</v>
      </c>
      <c r="L55" s="27" t="s">
        <v>813</v>
      </c>
      <c r="M55" s="27" t="s">
        <v>806</v>
      </c>
      <c r="N55" s="27" t="s">
        <v>65</v>
      </c>
      <c r="O55" s="27">
        <v>7</v>
      </c>
      <c r="P55" s="27" t="s">
        <v>814</v>
      </c>
      <c r="Q55" s="27" t="str" cm="1">
        <f t="array" ref="Q55">_xlfn.REGEXEXTRACT(B55,"(?&lt;=//)[^/]+")</f>
        <v>www.eporner.com</v>
      </c>
      <c r="R55" s="27" t="s">
        <v>685</v>
      </c>
      <c r="S55" s="27" t="s">
        <v>1750</v>
      </c>
      <c r="T55" s="27" t="str" cm="1">
        <f t="array" ref="T55">IF(S55&lt;&gt;"NotApplicable",_xlfn.REGEXEXTRACT(S55,"\d+(?=p)"),"NotApplicable")</f>
        <v>NotApplicable</v>
      </c>
      <c r="U55" s="27" t="s">
        <v>1750</v>
      </c>
      <c r="V55" s="27" t="b">
        <f>ISNUMBER(SEARCH(",",F55))</f>
        <v>0</v>
      </c>
    </row>
    <row r="56" spans="1:22" ht="45" x14ac:dyDescent="0.25">
      <c r="A56" s="27" t="str">
        <f>IF(ISBLANK(N56)=TRUE,"Pending","Done")</f>
        <v>Done</v>
      </c>
      <c r="B56" s="27" t="s">
        <v>243</v>
      </c>
      <c r="C56" s="27">
        <v>73</v>
      </c>
      <c r="D56" s="27" t="str">
        <f>SUBSTITUTE(TRIM(RIGHT(SUBSTITUTE(IF(RIGHT(B56,1)="/",LEFT(B56,LEN(B56)-1),B56),"/",REPT(" ",LEN(B56))),LEN(B56))),"-"," ")</f>
        <v>kink avery black sex and submission</v>
      </c>
      <c r="E56" s="27" t="s">
        <v>845</v>
      </c>
      <c r="F56" s="27" t="s">
        <v>244</v>
      </c>
      <c r="G56" s="27" t="s">
        <v>70</v>
      </c>
      <c r="H56" s="27" t="s">
        <v>2234</v>
      </c>
      <c r="I56" s="27" t="s">
        <v>2233</v>
      </c>
      <c r="J56" s="27" t="s">
        <v>1750</v>
      </c>
      <c r="K56" s="27" t="s">
        <v>1750</v>
      </c>
      <c r="L56" s="27" t="s">
        <v>474</v>
      </c>
      <c r="M56" s="27" t="s">
        <v>367</v>
      </c>
      <c r="N56" s="27" t="s">
        <v>65</v>
      </c>
      <c r="O56" s="27">
        <v>7</v>
      </c>
      <c r="P56" s="27" t="s">
        <v>538</v>
      </c>
      <c r="Q56" s="27" t="str" cm="1">
        <f t="array" ref="Q56">_xlfn.REGEXEXTRACT(B56,"(?&lt;=//)[^/]+")</f>
        <v>heavyfetish.com</v>
      </c>
      <c r="R56" s="27" t="s">
        <v>685</v>
      </c>
      <c r="S56" s="27" t="s">
        <v>1750</v>
      </c>
      <c r="T56" s="27" t="str" cm="1">
        <f t="array" ref="T56">IF(S56&lt;&gt;"NotApplicable",_xlfn.REGEXEXTRACT(S56,"\d+(?=p)"),"NotApplicable")</f>
        <v>NotApplicable</v>
      </c>
      <c r="U56" s="27" t="s">
        <v>1750</v>
      </c>
      <c r="V56" s="27" t="b">
        <f>ISNUMBER(SEARCH(",",F56))</f>
        <v>0</v>
      </c>
    </row>
    <row r="57" spans="1:22" ht="30" x14ac:dyDescent="0.25">
      <c r="A57" s="27" t="str">
        <f>IF(ISBLANK(N57)=TRUE,"Pending","Done")</f>
        <v>Done</v>
      </c>
      <c r="B57" s="27" t="s">
        <v>52</v>
      </c>
      <c r="C57" s="27">
        <v>111</v>
      </c>
      <c r="D57" s="27" t="str">
        <f>SUBSTITUTE(TRIM(RIGHT(SUBSTITUTE(IF(RIGHT(B57,1)="/",LEFT(B57,LEN(B57)-1),B57),"/",REPT(" ",LEN(B57))),LEN(B57))),"-"," ")</f>
        <v>63164 mediaval chambers</v>
      </c>
      <c r="E57" s="27" t="s">
        <v>1747</v>
      </c>
      <c r="F57" s="27" t="s">
        <v>1749</v>
      </c>
      <c r="G57" s="27" t="s">
        <v>70</v>
      </c>
      <c r="H57" s="27" t="s">
        <v>1750</v>
      </c>
      <c r="I57" s="27" t="s">
        <v>2225</v>
      </c>
      <c r="J57" s="27" t="s">
        <v>1750</v>
      </c>
      <c r="K57" s="27" t="s">
        <v>1750</v>
      </c>
      <c r="L57" s="27" t="s">
        <v>486</v>
      </c>
      <c r="M57" s="27" t="s">
        <v>644</v>
      </c>
      <c r="N57" s="27" t="s">
        <v>65</v>
      </c>
      <c r="O57" s="27">
        <v>7</v>
      </c>
      <c r="P57" s="27" t="s">
        <v>513</v>
      </c>
      <c r="Q57" s="27" t="str" cm="1">
        <f t="array" ref="Q57">_xlfn.REGEXEXTRACT(B57,"(?&lt;=//)[^/]+")</f>
        <v>punishworld.com</v>
      </c>
      <c r="R57" s="27" t="s">
        <v>685</v>
      </c>
      <c r="S57" s="27" t="s">
        <v>1750</v>
      </c>
      <c r="T57" s="27" t="str" cm="1">
        <f t="array" ref="T57">IF(S57&lt;&gt;"NotApplicable",_xlfn.REGEXEXTRACT(S57,"\d+(?=p)"),"NotApplicable")</f>
        <v>NotApplicable</v>
      </c>
      <c r="U57" s="27" t="s">
        <v>1750</v>
      </c>
      <c r="V57" s="27" t="b">
        <f>ISNUMBER(SEARCH(",",F57))</f>
        <v>0</v>
      </c>
    </row>
    <row r="58" spans="1:22" ht="60" x14ac:dyDescent="0.25">
      <c r="A58" s="27" t="str">
        <f>IF(ISBLANK(N58)=TRUE,"Pending","Done")</f>
        <v>Done</v>
      </c>
      <c r="B58" s="27" t="s">
        <v>306</v>
      </c>
      <c r="C58" s="27">
        <v>99</v>
      </c>
      <c r="D58" s="27" t="str">
        <f>SUBSTITUTE(TRIM(RIGHT(SUBSTITUTE(IF(RIGHT(B58,1)="/",LEFT(B58,LEN(B58)-1),B58),"/",REPT(" ",LEN(B58))),LEN(B58))),"-"," ")</f>
        <v>no safe word xh5QQce?pw=</v>
      </c>
      <c r="E58" s="27" t="s">
        <v>1747</v>
      </c>
      <c r="F58" s="27" t="s">
        <v>2227</v>
      </c>
      <c r="G58" s="27" t="s">
        <v>70</v>
      </c>
      <c r="H58" s="27" t="s">
        <v>2228</v>
      </c>
      <c r="I58" s="27" t="s">
        <v>2226</v>
      </c>
      <c r="J58" s="27" t="s">
        <v>1750</v>
      </c>
      <c r="K58" s="27" t="s">
        <v>1750</v>
      </c>
      <c r="L58" s="27" t="s">
        <v>500</v>
      </c>
      <c r="M58" s="27" t="s">
        <v>634</v>
      </c>
      <c r="N58" s="27" t="s">
        <v>65</v>
      </c>
      <c r="O58" s="27">
        <v>7</v>
      </c>
      <c r="P58" s="27" t="s">
        <v>517</v>
      </c>
      <c r="Q58" s="27" t="str" cm="1">
        <f t="array" ref="Q58">_xlfn.REGEXEXTRACT(B58,"(?&lt;=//)[^/]+")</f>
        <v>xhamster44.desi</v>
      </c>
      <c r="R58" s="27" t="s">
        <v>685</v>
      </c>
      <c r="S58" s="27" t="s">
        <v>1750</v>
      </c>
      <c r="T58" s="27" t="str" cm="1">
        <f t="array" ref="T58">IF(S58&lt;&gt;"NotApplicable",_xlfn.REGEXEXTRACT(S58,"\d+(?=p)"),"NotApplicable")</f>
        <v>NotApplicable</v>
      </c>
      <c r="U58" s="27" t="s">
        <v>1750</v>
      </c>
      <c r="V58" s="27" t="b">
        <f>ISNUMBER(SEARCH(",",F58))</f>
        <v>1</v>
      </c>
    </row>
    <row r="59" spans="1:22" ht="30" x14ac:dyDescent="0.25">
      <c r="A59" s="27" t="str">
        <f>IF(ISBLANK(N59)=TRUE,"Pending","Done")</f>
        <v>Done</v>
      </c>
      <c r="B59" s="27" t="s">
        <v>1515</v>
      </c>
      <c r="C59" s="27">
        <v>11</v>
      </c>
      <c r="D59" s="27" t="str">
        <f>SUBSTITUTE(TRIM(RIGHT(SUBSTITUTE(IF(RIGHT(B59,1)="/",LEFT(B59,LEN(B59)-1),B59),"/",REPT(" ",LEN(B59))),LEN(B59))),"-"," ")</f>
        <v>kenzie reeves a fine piece of bound meat part 2</v>
      </c>
      <c r="E59" s="27" t="s">
        <v>146</v>
      </c>
      <c r="F59" s="27" t="s">
        <v>1511</v>
      </c>
      <c r="G59" s="27" t="s">
        <v>70</v>
      </c>
      <c r="H59" s="27" t="s">
        <v>1513</v>
      </c>
      <c r="I59" s="27" t="s">
        <v>1520</v>
      </c>
      <c r="J59" s="27" t="s">
        <v>1750</v>
      </c>
      <c r="K59" s="27" t="s">
        <v>1750</v>
      </c>
      <c r="L59" s="27" t="s">
        <v>1530</v>
      </c>
      <c r="M59" s="27" t="s">
        <v>1527</v>
      </c>
      <c r="N59" s="27" t="s">
        <v>65</v>
      </c>
      <c r="O59" s="27">
        <v>6</v>
      </c>
      <c r="P59" s="27" t="s">
        <v>1526</v>
      </c>
      <c r="Q59" s="27" t="str" cm="1">
        <f t="array" ref="Q59">_xlfn.REGEXEXTRACT(B59,"(?&lt;=//)[^/]+")</f>
        <v>www.porntrex.com</v>
      </c>
      <c r="R59" s="27" t="s">
        <v>684</v>
      </c>
      <c r="S59" s="27" t="s">
        <v>1512</v>
      </c>
      <c r="T59" s="27" t="str" cm="1">
        <f t="array" ref="T59">IF(S59&lt;&gt;"NotApplicable",_xlfn.REGEXEXTRACT(S59,"\d+(?=p)"),"NotApplicable")</f>
        <v>1080</v>
      </c>
      <c r="U59" s="27" t="s">
        <v>1518</v>
      </c>
      <c r="V59" s="27" t="b">
        <f>ISNUMBER(SEARCH(",",F59))</f>
        <v>0</v>
      </c>
    </row>
    <row r="60" spans="1:22" ht="30" x14ac:dyDescent="0.25">
      <c r="A60" s="27" t="str">
        <f>IF(ISBLANK(N60)=TRUE,"Pending","Done")</f>
        <v>Done</v>
      </c>
      <c r="B60" s="27" t="s">
        <v>14</v>
      </c>
      <c r="C60" s="27">
        <v>53</v>
      </c>
      <c r="D60" s="27" t="str">
        <f>SUBSTITUTE(TRIM(RIGHT(SUBSTITUTE(IF(RIGHT(B60,1)="/",LEFT(B60,LEN(B60)-1),B60),"/",REPT(" ",LEN(B60))),LEN(B60))),"-"," ")</f>
        <v>ash and allie</v>
      </c>
      <c r="E60" s="27" t="s">
        <v>1747</v>
      </c>
      <c r="F60" s="27" t="s">
        <v>2285</v>
      </c>
      <c r="G60" s="27" t="s">
        <v>71</v>
      </c>
      <c r="H60" s="27" t="s">
        <v>2286</v>
      </c>
      <c r="I60" s="27" t="s">
        <v>2284</v>
      </c>
      <c r="J60" s="27" t="s">
        <v>1750</v>
      </c>
      <c r="K60" s="27" t="s">
        <v>1750</v>
      </c>
      <c r="L60" s="27" t="s">
        <v>1730</v>
      </c>
      <c r="M60" s="27" t="s">
        <v>585</v>
      </c>
      <c r="N60" s="27" t="s">
        <v>65</v>
      </c>
      <c r="O60" s="27">
        <v>6</v>
      </c>
      <c r="P60" s="27" t="s">
        <v>100</v>
      </c>
      <c r="Q60" s="27" t="str" cm="1">
        <f t="array" ref="Q60">_xlfn.REGEXEXTRACT(B60,"(?&lt;=//)[^/]+")</f>
        <v>bdsmstreak.com</v>
      </c>
      <c r="R60" s="27" t="s">
        <v>685</v>
      </c>
      <c r="S60" s="27" t="s">
        <v>1750</v>
      </c>
      <c r="T60" s="27" t="str" cm="1">
        <f t="array" ref="T60">IF(S60&lt;&gt;"NotApplicable",_xlfn.REGEXEXTRACT(S60,"\d+(?=p)"),"NotApplicable")</f>
        <v>NotApplicable</v>
      </c>
      <c r="U60" s="27" t="s">
        <v>1750</v>
      </c>
      <c r="V60" s="27" t="b">
        <f>ISNUMBER(SEARCH(",",F60))</f>
        <v>1</v>
      </c>
    </row>
    <row r="61" spans="1:22" ht="45" x14ac:dyDescent="0.25">
      <c r="A61" s="27" t="str">
        <f>IF(ISBLANK(N61)=TRUE,"Pending","Done")</f>
        <v>Done</v>
      </c>
      <c r="B61" s="27" t="s">
        <v>10</v>
      </c>
      <c r="C61" s="27">
        <v>56</v>
      </c>
      <c r="D61" s="27" t="str">
        <f>SUBSTITUTE(TRIM(RIGHT(SUBSTITUTE(IF(RIGHT(B61,1)="/",LEFT(B61,LEN(B61)-1),B61),"/",REPT(" ",LEN(B61))),LEN(B61))),"-"," ")</f>
        <v>device bondage amber rayne3</v>
      </c>
      <c r="E61" s="27" t="s">
        <v>853</v>
      </c>
      <c r="F61" s="27" t="s">
        <v>219</v>
      </c>
      <c r="G61" s="27" t="s">
        <v>71</v>
      </c>
      <c r="H61" s="27" t="s">
        <v>2131</v>
      </c>
      <c r="I61" s="27" t="s">
        <v>2283</v>
      </c>
      <c r="J61" s="27" t="s">
        <v>1750</v>
      </c>
      <c r="K61" s="27" t="s">
        <v>1750</v>
      </c>
      <c r="L61" s="27" t="s">
        <v>574</v>
      </c>
      <c r="M61" s="27" t="s">
        <v>373</v>
      </c>
      <c r="N61" s="27" t="s">
        <v>65</v>
      </c>
      <c r="O61" s="27">
        <v>6</v>
      </c>
      <c r="P61" s="27" t="s">
        <v>534</v>
      </c>
      <c r="Q61" s="27" t="str" cm="1">
        <f t="array" ref="Q61">_xlfn.REGEXEXTRACT(B61,"(?&lt;=//)[^/]+")</f>
        <v>heavyfetish.com</v>
      </c>
      <c r="R61" s="27" t="s">
        <v>685</v>
      </c>
      <c r="S61" s="27" t="s">
        <v>1750</v>
      </c>
      <c r="T61" s="27" t="str" cm="1">
        <f t="array" ref="T61">IF(S61&lt;&gt;"NotApplicable",_xlfn.REGEXEXTRACT(S61,"\d+(?=p)"),"NotApplicable")</f>
        <v>NotApplicable</v>
      </c>
      <c r="U61" s="27" t="s">
        <v>1750</v>
      </c>
      <c r="V61" s="27" t="b">
        <f>ISNUMBER(SEARCH(",",F61))</f>
        <v>0</v>
      </c>
    </row>
    <row r="62" spans="1:22" ht="30" x14ac:dyDescent="0.25">
      <c r="A62" s="27" t="str">
        <f>IF(ISBLANK(N62)=TRUE,"Pending","Done")</f>
        <v>Done</v>
      </c>
      <c r="B62" s="27" t="s">
        <v>1944</v>
      </c>
      <c r="C62" s="27">
        <v>70</v>
      </c>
      <c r="D62" s="27" t="str">
        <f>SUBSTITUTE(TRIM(RIGHT(SUBSTITUTE(IF(RIGHT(B62,1)="/",LEFT(B62,LEN(B62)-1),B62),"/",REPT(" ",LEN(B62))),LEN(B62))),"-"," ")</f>
        <v>new recruit crew member electro fucked and tormented</v>
      </c>
      <c r="E62" s="27" t="s">
        <v>1450</v>
      </c>
      <c r="F62" s="27" t="s">
        <v>1945</v>
      </c>
      <c r="G62" s="27" t="s">
        <v>71</v>
      </c>
      <c r="H62" s="27" t="s">
        <v>2134</v>
      </c>
      <c r="I62" s="27" t="s">
        <v>2134</v>
      </c>
      <c r="J62" s="27">
        <v>9</v>
      </c>
      <c r="K62" s="27" t="s">
        <v>1946</v>
      </c>
      <c r="L62" s="27" t="s">
        <v>2137</v>
      </c>
      <c r="M62" s="27" t="s">
        <v>2136</v>
      </c>
      <c r="N62" s="27" t="s">
        <v>65</v>
      </c>
      <c r="O62" s="27">
        <v>6</v>
      </c>
      <c r="P62" s="27" t="s">
        <v>2135</v>
      </c>
      <c r="Q62" s="27" t="str" cm="1">
        <f t="array" ref="Q62">_xlfn.REGEXEXTRACT(B62,"(?&lt;=//)[^/]+")</f>
        <v>bdsmstreak.com</v>
      </c>
      <c r="R62" s="27" t="s">
        <v>685</v>
      </c>
      <c r="S62" s="27" t="s">
        <v>1750</v>
      </c>
      <c r="T62" s="27" t="str" cm="1">
        <f t="array" ref="T62">IF(S62&lt;&gt;"NotApplicable",_xlfn.REGEXEXTRACT(S62,"\d+(?=p)"),"NotApplicable")</f>
        <v>NotApplicable</v>
      </c>
      <c r="U62" s="27" t="s">
        <v>1750</v>
      </c>
      <c r="V62" s="27" t="b">
        <f>ISNUMBER(SEARCH(",",F62))</f>
        <v>1</v>
      </c>
    </row>
    <row r="63" spans="1:22" ht="45" x14ac:dyDescent="0.25">
      <c r="A63" s="27" t="str">
        <f>IF(ISBLANK(N63)=TRUE,"Pending","Done")</f>
        <v>Done</v>
      </c>
      <c r="B63" s="27" t="s">
        <v>2334</v>
      </c>
      <c r="C63" s="27">
        <v>33</v>
      </c>
      <c r="D63" s="27" t="str">
        <f>SUBSTITUTE(TRIM(RIGHT(SUBSTITUTE(IF(RIGHT(B63,1)="/",LEFT(B63,LEN(B63)-1),B63),"/",REPT(" ",LEN(B63))),LEN(B63))),"-"," ")</f>
        <v>122346</v>
      </c>
      <c r="E63" s="27" t="s">
        <v>1747</v>
      </c>
      <c r="F63" s="27" t="s">
        <v>2331</v>
      </c>
      <c r="G63" s="27" t="s">
        <v>71</v>
      </c>
      <c r="H63" s="27" t="s">
        <v>2333</v>
      </c>
      <c r="I63" s="27" t="s">
        <v>2333</v>
      </c>
      <c r="J63" s="27" t="s">
        <v>1750</v>
      </c>
      <c r="K63" s="27" t="s">
        <v>1750</v>
      </c>
      <c r="L63" s="27" t="s">
        <v>2332</v>
      </c>
      <c r="M63" s="27" t="s">
        <v>658</v>
      </c>
      <c r="N63" s="27" t="s">
        <v>65</v>
      </c>
      <c r="O63" s="27">
        <v>6</v>
      </c>
      <c r="P63" s="27" t="s">
        <v>809</v>
      </c>
      <c r="Q63" s="27" t="str" cm="1">
        <f t="array" ref="Q63">_xlfn.REGEXEXTRACT(B63,"(?&lt;=//)[^/]+")</f>
        <v>ok.porn</v>
      </c>
      <c r="R63" s="27" t="s">
        <v>685</v>
      </c>
      <c r="S63" s="27" t="s">
        <v>1750</v>
      </c>
      <c r="T63" s="27" t="str" cm="1">
        <f t="array" ref="T63">IF(S63&lt;&gt;"NotApplicable",_xlfn.REGEXEXTRACT(S63,"\d+(?=p)"),"NotApplicable")</f>
        <v>NotApplicable</v>
      </c>
      <c r="U63" s="27" t="s">
        <v>1750</v>
      </c>
      <c r="V63" s="27" t="b">
        <f>ISNUMBER(SEARCH(",",F63))</f>
        <v>1</v>
      </c>
    </row>
    <row r="64" spans="1:22" ht="45" x14ac:dyDescent="0.25">
      <c r="A64" s="27" t="str">
        <f>IF(ISBLANK(N64)=TRUE,"Pending","Done")</f>
        <v>Done</v>
      </c>
      <c r="B64" s="27" t="s">
        <v>8</v>
      </c>
      <c r="C64" s="27">
        <v>57</v>
      </c>
      <c r="D64" s="27" t="str">
        <f>SUBSTITUTE(TRIM(RIGHT(SUBSTITUTE(IF(RIGHT(B64,1)="/",LEFT(B64,LEN(B64)-1),B64),"/",REPT(" ",LEN(B64))),LEN(B64))),"-"," ")</f>
        <v>wired pussy annabelle lee</v>
      </c>
      <c r="E64" s="27" t="s">
        <v>848</v>
      </c>
      <c r="F64" s="27" t="s">
        <v>2281</v>
      </c>
      <c r="G64" s="27" t="s">
        <v>71</v>
      </c>
      <c r="H64" s="27" t="s">
        <v>2280</v>
      </c>
      <c r="I64" s="27" t="s">
        <v>2279</v>
      </c>
      <c r="J64" s="27" t="s">
        <v>1750</v>
      </c>
      <c r="K64" s="27" t="s">
        <v>1750</v>
      </c>
      <c r="L64" s="27" t="s">
        <v>527</v>
      </c>
      <c r="M64" s="27" t="s">
        <v>615</v>
      </c>
      <c r="N64" s="27" t="s">
        <v>65</v>
      </c>
      <c r="O64" s="27">
        <v>6</v>
      </c>
      <c r="P64" s="27" t="s">
        <v>2282</v>
      </c>
      <c r="Q64" s="27" t="str" cm="1">
        <f t="array" ref="Q64">_xlfn.REGEXEXTRACT(B64,"(?&lt;=//)[^/]+")</f>
        <v>heavyfetish.com</v>
      </c>
      <c r="R64" s="27" t="s">
        <v>685</v>
      </c>
      <c r="S64" s="27" t="s">
        <v>1750</v>
      </c>
      <c r="T64" s="27" t="str" cm="1">
        <f t="array" ref="T64">IF(S64&lt;&gt;"NotApplicable",_xlfn.REGEXEXTRACT(S64,"\d+(?=p)"),"NotApplicable")</f>
        <v>NotApplicable</v>
      </c>
      <c r="U64" s="27" t="s">
        <v>1750</v>
      </c>
      <c r="V64" s="27" t="b">
        <f>ISNUMBER(SEARCH(",",F64))</f>
        <v>1</v>
      </c>
    </row>
    <row r="65" spans="1:22" ht="30" x14ac:dyDescent="0.25">
      <c r="A65" s="27" t="str">
        <f>IF(ISBLANK(N65)=TRUE,"Pending","Done")</f>
        <v>Done</v>
      </c>
      <c r="B65" s="27" t="s">
        <v>138</v>
      </c>
      <c r="C65" s="27">
        <v>23</v>
      </c>
      <c r="D65" s="27" t="str">
        <f>SUBSTITUTE(TRIM(RIGHT(SUBSTITUTE(IF(RIGHT(B65,1)="/",LEFT(B65,LEN(B65)-1),B65),"/",REPT(" ",LEN(B65))),LEN(B65))),"-"," ")</f>
        <v>zipped</v>
      </c>
      <c r="E65" s="27" t="s">
        <v>93</v>
      </c>
      <c r="F65" s="27" t="s">
        <v>343</v>
      </c>
      <c r="G65" s="27" t="s">
        <v>71</v>
      </c>
      <c r="H65" s="27" t="s">
        <v>2335</v>
      </c>
      <c r="I65" s="27" t="s">
        <v>2335</v>
      </c>
      <c r="J65" s="27" t="s">
        <v>1750</v>
      </c>
      <c r="K65" s="27" t="s">
        <v>1750</v>
      </c>
      <c r="L65" s="27" t="s">
        <v>1713</v>
      </c>
      <c r="M65" s="27" t="s">
        <v>79</v>
      </c>
      <c r="N65" s="27" t="s">
        <v>65</v>
      </c>
      <c r="O65" s="27">
        <v>6</v>
      </c>
      <c r="P65" s="27" t="s">
        <v>151</v>
      </c>
      <c r="Q65" s="27" t="str" cm="1">
        <f t="array" ref="Q65">_xlfn.REGEXEXTRACT(B65,"(?&lt;=//)[^/]+")</f>
        <v>heavyfetish.com</v>
      </c>
      <c r="R65" s="27" t="s">
        <v>685</v>
      </c>
      <c r="S65" s="27" t="s">
        <v>1750</v>
      </c>
      <c r="T65" s="27" t="str" cm="1">
        <f t="array" ref="T65">IF(S65&lt;&gt;"NotApplicable",_xlfn.REGEXEXTRACT(S65,"\d+(?=p)"),"NotApplicable")</f>
        <v>NotApplicable</v>
      </c>
      <c r="U65" s="27" t="s">
        <v>1750</v>
      </c>
      <c r="V65" s="27" t="b">
        <f>ISNUMBER(SEARCH(",",F65))</f>
        <v>1</v>
      </c>
    </row>
    <row r="66" spans="1:22" ht="30" x14ac:dyDescent="0.25">
      <c r="A66" s="27" t="str">
        <f>IF(ISBLANK(N66)=TRUE,"Pending","Done")</f>
        <v>Done</v>
      </c>
      <c r="B66" s="27" t="s">
        <v>2275</v>
      </c>
      <c r="C66" s="27">
        <v>64</v>
      </c>
      <c r="D66" s="27" t="str">
        <f>SUBSTITUTE(TRIM(RIGHT(SUBSTITUTE(IF(RIGHT(B66,1)="/",LEFT(B66,LEN(B66)-1),B66),"/",REPT(" ",LEN(B66))),LEN(B66))),"-"," ")</f>
        <v>chastity woes episode 2</v>
      </c>
      <c r="E66" s="27" t="s">
        <v>852</v>
      </c>
      <c r="F66" s="27" t="s">
        <v>431</v>
      </c>
      <c r="G66" s="27" t="s">
        <v>81</v>
      </c>
      <c r="H66" s="27" t="s">
        <v>2274</v>
      </c>
      <c r="I66" s="27" t="s">
        <v>2276</v>
      </c>
      <c r="J66" s="27" t="s">
        <v>1750</v>
      </c>
      <c r="K66" s="27" t="s">
        <v>1750</v>
      </c>
      <c r="L66" s="27" t="s">
        <v>526</v>
      </c>
      <c r="M66" s="27" t="s">
        <v>589</v>
      </c>
      <c r="N66" s="27" t="s">
        <v>65</v>
      </c>
      <c r="O66" s="27">
        <v>6</v>
      </c>
      <c r="P66" s="27" t="s">
        <v>469</v>
      </c>
      <c r="Q66" s="27" t="str" cm="1">
        <f t="array" ref="Q66">_xlfn.REGEXEXTRACT(B66,"(?&lt;=//)[^/]+")</f>
        <v>bdsmstreak.com</v>
      </c>
      <c r="R66" s="27" t="s">
        <v>685</v>
      </c>
      <c r="S66" s="27" t="s">
        <v>1750</v>
      </c>
      <c r="T66" s="27" t="str" cm="1">
        <f t="array" ref="T66">IF(S66&lt;&gt;"NotApplicable",_xlfn.REGEXEXTRACT(S66,"\d+(?=p)"),"NotApplicable")</f>
        <v>NotApplicable</v>
      </c>
      <c r="U66" s="27" t="s">
        <v>1750</v>
      </c>
      <c r="V66" s="27" t="b">
        <f>ISNUMBER(SEARCH(",",F66))</f>
        <v>0</v>
      </c>
    </row>
    <row r="67" spans="1:22" ht="45" x14ac:dyDescent="0.25">
      <c r="A67" s="27" t="str">
        <f>IF(ISBLANK(N67)=TRUE,"Pending","Done")</f>
        <v>Done</v>
      </c>
      <c r="B67" s="27" t="s">
        <v>313</v>
      </c>
      <c r="C67" s="27">
        <v>21</v>
      </c>
      <c r="D67" s="27" t="str">
        <f>SUBSTITUTE(TRIM(RIGHT(SUBSTITUTE(IF(RIGHT(B67,1)="/",LEFT(B67,LEN(B67)-1),B67),"/",REPT(" ",LEN(B67))),LEN(B67))),"-"," ")</f>
        <v>chastity gloves and condoms how many until he doesnt feel anything xhTMLsQ?pw=</v>
      </c>
      <c r="E67" s="27" t="s">
        <v>1747</v>
      </c>
      <c r="F67" s="27" t="s">
        <v>314</v>
      </c>
      <c r="G67" s="27" t="s">
        <v>81</v>
      </c>
      <c r="H67" s="27" t="s">
        <v>2336</v>
      </c>
      <c r="I67" s="27" t="s">
        <v>2336</v>
      </c>
      <c r="J67" s="27" t="s">
        <v>1750</v>
      </c>
      <c r="K67" s="27" t="s">
        <v>1750</v>
      </c>
      <c r="L67" s="27" t="s">
        <v>424</v>
      </c>
      <c r="M67" s="27" t="s">
        <v>701</v>
      </c>
      <c r="N67" s="27" t="s">
        <v>65</v>
      </c>
      <c r="O67" s="27">
        <v>6</v>
      </c>
      <c r="P67" s="27" t="s">
        <v>423</v>
      </c>
      <c r="Q67" s="27" t="str" cm="1">
        <f t="array" ref="Q67">_xlfn.REGEXEXTRACT(B67,"(?&lt;=//)[^/]+")</f>
        <v>xhamster44.desi</v>
      </c>
      <c r="R67" s="27" t="s">
        <v>685</v>
      </c>
      <c r="S67" s="27" t="s">
        <v>1750</v>
      </c>
      <c r="T67" s="27" t="str" cm="1">
        <f t="array" ref="T67">IF(S67&lt;&gt;"NotApplicable",_xlfn.REGEXEXTRACT(S67,"\d+(?=p)"),"NotApplicable")</f>
        <v>NotApplicable</v>
      </c>
      <c r="U67" s="27" t="s">
        <v>1750</v>
      </c>
      <c r="V67" s="27" t="b">
        <f>ISNUMBER(SEARCH(",",F67))</f>
        <v>0</v>
      </c>
    </row>
    <row r="68" spans="1:22" ht="30" x14ac:dyDescent="0.25">
      <c r="A68" s="27" t="str">
        <f>IF(ISBLANK(N68)=TRUE,"Pending","Done")</f>
        <v>Done</v>
      </c>
      <c r="B68" s="27" t="s">
        <v>2293</v>
      </c>
      <c r="C68" s="27">
        <v>51</v>
      </c>
      <c r="D68" s="27" t="str">
        <f>SUBSTITUTE(TRIM(RIGHT(SUBSTITUTE(IF(RIGHT(B68,1)="/",LEFT(B68,LEN(B68)-1),B68),"/",REPT(" ",LEN(B68))),LEN(B68))),"-"," ")</f>
        <v>dominating nerd boy</v>
      </c>
      <c r="E68" s="27" t="s">
        <v>843</v>
      </c>
      <c r="F68" s="27" t="s">
        <v>191</v>
      </c>
      <c r="G68" s="27" t="s">
        <v>81</v>
      </c>
      <c r="H68" s="27" t="s">
        <v>2292</v>
      </c>
      <c r="I68" s="27" t="s">
        <v>2294</v>
      </c>
      <c r="J68" s="27" t="s">
        <v>1750</v>
      </c>
      <c r="K68" s="27" t="s">
        <v>1750</v>
      </c>
      <c r="L68" s="27" t="s">
        <v>480</v>
      </c>
      <c r="M68" s="27" t="s">
        <v>631</v>
      </c>
      <c r="N68" s="27" t="s">
        <v>65</v>
      </c>
      <c r="O68" s="27">
        <v>6</v>
      </c>
      <c r="P68" s="27" t="s">
        <v>651</v>
      </c>
      <c r="Q68" s="27" t="str" cm="1">
        <f t="array" ref="Q68">_xlfn.REGEXEXTRACT(B68,"(?&lt;=//)[^/]+")</f>
        <v>bdsmstreak.com</v>
      </c>
      <c r="R68" s="27" t="s">
        <v>685</v>
      </c>
      <c r="S68" s="27" t="s">
        <v>1750</v>
      </c>
      <c r="T68" s="27" t="str" cm="1">
        <f t="array" ref="T68">IF(S68&lt;&gt;"NotApplicable",_xlfn.REGEXEXTRACT(S68,"\d+(?=p)"),"NotApplicable")</f>
        <v>NotApplicable</v>
      </c>
      <c r="U68" s="27" t="s">
        <v>1750</v>
      </c>
      <c r="V68" s="27" t="b">
        <f>ISNUMBER(SEARCH(",",F68))</f>
        <v>0</v>
      </c>
    </row>
    <row r="69" spans="1:22" ht="30" x14ac:dyDescent="0.25">
      <c r="A69" s="27" t="str">
        <f>IF(ISBLANK(N69)=TRUE,"Pending","Done")</f>
        <v>Done</v>
      </c>
      <c r="B69" s="27" t="s">
        <v>263</v>
      </c>
      <c r="C69" s="27">
        <v>113</v>
      </c>
      <c r="D69" s="27" t="str">
        <f>SUBSTITUTE(TRIM(RIGHT(SUBSTITUTE(IF(RIGHT(B69,1)="/",LEFT(B69,LEN(B69)-1),B69),"/",REPT(" ",LEN(B69))),LEN(B69))),"-"," ")</f>
        <v>?campaign_id=251311668</v>
      </c>
      <c r="E69" s="27" t="s">
        <v>1747</v>
      </c>
      <c r="F69" s="27" t="s">
        <v>1749</v>
      </c>
      <c r="G69" s="27" t="s">
        <v>81</v>
      </c>
      <c r="H69" s="27" t="s">
        <v>1750</v>
      </c>
      <c r="I69" s="27" t="s">
        <v>2270</v>
      </c>
      <c r="J69" s="27" t="s">
        <v>1750</v>
      </c>
      <c r="K69" s="27" t="s">
        <v>1750</v>
      </c>
      <c r="L69" s="27" t="s">
        <v>646</v>
      </c>
      <c r="M69" s="27" t="s">
        <v>590</v>
      </c>
      <c r="N69" s="27" t="s">
        <v>250</v>
      </c>
      <c r="O69" s="27">
        <v>6</v>
      </c>
      <c r="P69" s="27" t="s">
        <v>648</v>
      </c>
      <c r="Q69" s="27" t="str" cm="1">
        <f t="array" ref="Q69">_xlfn.REGEXEXTRACT(B69,"(?&lt;=//)[^/]+")</f>
        <v>abjav.com</v>
      </c>
      <c r="R69" s="27" t="s">
        <v>685</v>
      </c>
      <c r="S69" s="27" t="s">
        <v>1750</v>
      </c>
      <c r="T69" s="27" t="str" cm="1">
        <f t="array" ref="T69">IF(S69&lt;&gt;"NotApplicable",_xlfn.REGEXEXTRACT(S69,"\d+(?=p)"),"NotApplicable")</f>
        <v>NotApplicable</v>
      </c>
      <c r="U69" s="27" t="s">
        <v>1750</v>
      </c>
      <c r="V69" s="27" t="b">
        <f>ISNUMBER(SEARCH(",",F69))</f>
        <v>0</v>
      </c>
    </row>
    <row r="70" spans="1:22" ht="45" x14ac:dyDescent="0.25">
      <c r="A70" s="27" t="str">
        <f>IF(ISBLANK(N70)=TRUE,"Pending","Done")</f>
        <v>Done</v>
      </c>
      <c r="B70" s="27" t="s">
        <v>2278</v>
      </c>
      <c r="C70" s="27">
        <v>58</v>
      </c>
      <c r="D70" s="27" t="str">
        <f>SUBSTITUTE(TRIM(RIGHT(SUBSTITUTE(IF(RIGHT(B70,1)="/",LEFT(B70,LEN(B70)-1),B70),"/",REPT(" ",LEN(B70))),LEN(B70))),"-"," ")</f>
        <v>going for gold</v>
      </c>
      <c r="E70" s="27" t="s">
        <v>852</v>
      </c>
      <c r="F70" s="27" t="s">
        <v>427</v>
      </c>
      <c r="G70" s="27" t="s">
        <v>81</v>
      </c>
      <c r="H70" s="27" t="s">
        <v>2277</v>
      </c>
      <c r="I70" s="27" t="s">
        <v>2277</v>
      </c>
      <c r="J70" s="27" t="s">
        <v>1750</v>
      </c>
      <c r="K70" s="27" t="s">
        <v>1750</v>
      </c>
      <c r="L70" s="27" t="s">
        <v>537</v>
      </c>
      <c r="M70" s="27" t="s">
        <v>439</v>
      </c>
      <c r="N70" s="27" t="s">
        <v>65</v>
      </c>
      <c r="O70" s="27">
        <v>6</v>
      </c>
      <c r="P70" s="27" t="s">
        <v>539</v>
      </c>
      <c r="Q70" s="27" t="str" cm="1">
        <f t="array" ref="Q70">_xlfn.REGEXEXTRACT(B70,"(?&lt;=//)[^/]+")</f>
        <v>bdsmstreak.com</v>
      </c>
      <c r="R70" s="27" t="s">
        <v>685</v>
      </c>
      <c r="S70" s="27" t="s">
        <v>1750</v>
      </c>
      <c r="T70" s="27" t="str" cm="1">
        <f t="array" ref="T70">IF(S70&lt;&gt;"NotApplicable",_xlfn.REGEXEXTRACT(S70,"\d+(?=p)"),"NotApplicable")</f>
        <v>NotApplicable</v>
      </c>
      <c r="U70" s="27" t="s">
        <v>1750</v>
      </c>
      <c r="V70" s="27" t="b">
        <f>ISNUMBER(SEARCH(",",F70))</f>
        <v>0</v>
      </c>
    </row>
    <row r="71" spans="1:22" ht="30" x14ac:dyDescent="0.25">
      <c r="A71" s="27" t="str">
        <f>IF(ISBLANK(N71)=TRUE,"Pending","Done")</f>
        <v>Done</v>
      </c>
      <c r="B71" s="27" t="s">
        <v>697</v>
      </c>
      <c r="C71" s="27">
        <v>34</v>
      </c>
      <c r="D71" s="27" t="str">
        <f>SUBSTITUTE(TRIM(RIGHT(SUBSTITUTE(IF(RIGHT(B71,1)="/",LEFT(B71,LEN(B71)-1),B71),"/",REPT(" ",LEN(B71))),LEN(B71))),"-"," ")</f>
        <v>kinky femdom porn clip</v>
      </c>
      <c r="E71" s="27" t="s">
        <v>719</v>
      </c>
      <c r="F71" s="27" t="s">
        <v>1749</v>
      </c>
      <c r="G71" s="27" t="s">
        <v>81</v>
      </c>
      <c r="H71" s="27" t="s">
        <v>2330</v>
      </c>
      <c r="I71" s="27" t="s">
        <v>2329</v>
      </c>
      <c r="J71" s="27" t="s">
        <v>1750</v>
      </c>
      <c r="K71" s="27" t="s">
        <v>1750</v>
      </c>
      <c r="L71" s="27" t="s">
        <v>720</v>
      </c>
      <c r="M71" s="27" t="s">
        <v>614</v>
      </c>
      <c r="N71" s="27" t="s">
        <v>65</v>
      </c>
      <c r="O71" s="27">
        <v>6</v>
      </c>
      <c r="P71" s="27" t="s">
        <v>721</v>
      </c>
      <c r="Q71" s="27" t="str" cm="1">
        <f t="array" ref="Q71">_xlfn.REGEXEXTRACT(B71,"(?&lt;=//)[^/]+")</f>
        <v>www.xozilla.xxx</v>
      </c>
      <c r="R71" s="27" t="s">
        <v>685</v>
      </c>
      <c r="S71" s="27" t="s">
        <v>1750</v>
      </c>
      <c r="T71" s="27" t="str" cm="1">
        <f t="array" ref="T71">IF(S71&lt;&gt;"NotApplicable",_xlfn.REGEXEXTRACT(S71,"\d+(?=p)"),"NotApplicable")</f>
        <v>NotApplicable</v>
      </c>
      <c r="U71" s="27" t="s">
        <v>1750</v>
      </c>
      <c r="V71" s="27" t="b">
        <f>ISNUMBER(SEARCH(",",F71))</f>
        <v>0</v>
      </c>
    </row>
    <row r="72" spans="1:22" ht="30" x14ac:dyDescent="0.25">
      <c r="A72" s="27" t="str">
        <f>IF(ISBLANK(N72)=TRUE,"Pending","Done")</f>
        <v>Done</v>
      </c>
      <c r="B72" s="27" t="s">
        <v>426</v>
      </c>
      <c r="C72" s="27">
        <v>0</v>
      </c>
      <c r="D72" s="27" t="str">
        <f>SUBSTITUTE(TRIM(RIGHT(SUBSTITUTE(IF(RIGHT(B72,1)="/",LEFT(B72,LEN(B72)-1),B72),"/",REPT(" ",LEN(B72))),LEN(B72))),"-"," ")</f>
        <v>videos.php?p=1&amp;q=Divine%20Bitches%20Chastity%20Videos</v>
      </c>
      <c r="E72" s="27" t="s">
        <v>852</v>
      </c>
      <c r="F72" s="27" t="s">
        <v>1749</v>
      </c>
      <c r="G72" s="27" t="s">
        <v>81</v>
      </c>
      <c r="H72" s="27" t="s">
        <v>1750</v>
      </c>
      <c r="I72" s="27" t="s">
        <v>1750</v>
      </c>
      <c r="J72" s="27" t="s">
        <v>1750</v>
      </c>
      <c r="K72" s="27" t="s">
        <v>1750</v>
      </c>
      <c r="L72" s="27" t="s">
        <v>525</v>
      </c>
      <c r="M72" s="27" t="s">
        <v>435</v>
      </c>
      <c r="N72" s="27" t="s">
        <v>65</v>
      </c>
      <c r="O72" s="27">
        <v>6</v>
      </c>
      <c r="P72" s="27" t="s">
        <v>437</v>
      </c>
      <c r="Q72" s="27" t="str" cm="1">
        <f t="array" ref="Q72">_xlfn.REGEXEXTRACT(B72,"(?&lt;=//)[^/]+")</f>
        <v>www.pornhits.com</v>
      </c>
      <c r="R72" s="27" t="s">
        <v>685</v>
      </c>
      <c r="S72" s="27" t="s">
        <v>1750</v>
      </c>
      <c r="T72" s="27" t="str" cm="1">
        <f t="array" ref="T72">IF(S72&lt;&gt;"NotApplicable",_xlfn.REGEXEXTRACT(S72,"\d+(?=p)"),"NotApplicable")</f>
        <v>NotApplicable</v>
      </c>
      <c r="U72" s="27" t="s">
        <v>1750</v>
      </c>
      <c r="V72" s="27" t="b">
        <f>ISNUMBER(SEARCH(",",F72))</f>
        <v>0</v>
      </c>
    </row>
    <row r="73" spans="1:22" ht="30" x14ac:dyDescent="0.25">
      <c r="A73" s="27" t="str">
        <f>IF(ISBLANK(N73)=TRUE,"Pending","Done")</f>
        <v>Done</v>
      </c>
      <c r="B73" s="27" t="s">
        <v>434</v>
      </c>
      <c r="C73" s="27">
        <v>0</v>
      </c>
      <c r="D73" s="27" t="str">
        <f>SUBSTITUTE(TRIM(RIGHT(SUBSTITUTE(IF(RIGHT(B73,1)="/",LEFT(B73,LEN(B73)-1),B73),"/",REPT(" ",LEN(B73))),LEN(B73))),"-"," ")</f>
        <v>videos.php?p=1&amp;q=Divine%20Bitches%20Couple%20Dominated</v>
      </c>
      <c r="E73" s="27" t="s">
        <v>852</v>
      </c>
      <c r="F73" s="27" t="s">
        <v>1749</v>
      </c>
      <c r="G73" s="27" t="s">
        <v>81</v>
      </c>
      <c r="H73" s="27" t="s">
        <v>1750</v>
      </c>
      <c r="I73" s="27" t="s">
        <v>1750</v>
      </c>
      <c r="J73" s="27" t="s">
        <v>1750</v>
      </c>
      <c r="K73" s="27" t="s">
        <v>1750</v>
      </c>
      <c r="L73" s="27" t="s">
        <v>529</v>
      </c>
      <c r="M73" s="27" t="s">
        <v>435</v>
      </c>
      <c r="N73" s="27" t="s">
        <v>65</v>
      </c>
      <c r="O73" s="27">
        <v>6</v>
      </c>
      <c r="P73" s="27" t="s">
        <v>436</v>
      </c>
      <c r="Q73" s="27" t="str" cm="1">
        <f t="array" ref="Q73">_xlfn.REGEXEXTRACT(B73,"(?&lt;=//)[^/]+")</f>
        <v>www.pornhits.com</v>
      </c>
      <c r="R73" s="27" t="s">
        <v>685</v>
      </c>
      <c r="S73" s="27" t="s">
        <v>1750</v>
      </c>
      <c r="T73" s="27" t="str" cm="1">
        <f t="array" ref="T73">IF(S73&lt;&gt;"NotApplicable",_xlfn.REGEXEXTRACT(S73,"\d+(?=p)"),"NotApplicable")</f>
        <v>NotApplicable</v>
      </c>
      <c r="U73" s="27" t="s">
        <v>1750</v>
      </c>
      <c r="V73" s="27" t="b">
        <f>ISNUMBER(SEARCH(",",F73))</f>
        <v>0</v>
      </c>
    </row>
    <row r="74" spans="1:22" ht="30" x14ac:dyDescent="0.25">
      <c r="A74" s="27" t="str">
        <f>IF(ISBLANK(N74)=TRUE,"Pending","Done")</f>
        <v>Done</v>
      </c>
      <c r="B74" s="27" t="s">
        <v>253</v>
      </c>
      <c r="C74" s="27">
        <v>0</v>
      </c>
      <c r="D74" s="27" t="str">
        <f>SUBSTITUTE(TRIM(RIGHT(SUBSTITUTE(IF(RIGHT(B74,1)="/",LEFT(B74,LEN(B74)-1),B74),"/",REPT(" ",LEN(B74))),LEN(B74))),"-"," ")</f>
        <v>men in pain</v>
      </c>
      <c r="E74" s="27" t="s">
        <v>843</v>
      </c>
      <c r="F74" s="27" t="s">
        <v>1749</v>
      </c>
      <c r="G74" s="27" t="s">
        <v>81</v>
      </c>
      <c r="H74" s="27" t="s">
        <v>1750</v>
      </c>
      <c r="I74" s="27" t="s">
        <v>1750</v>
      </c>
      <c r="J74" s="27" t="s">
        <v>1750</v>
      </c>
      <c r="K74" s="27" t="s">
        <v>1750</v>
      </c>
      <c r="L74" s="27" t="s">
        <v>528</v>
      </c>
      <c r="M74" s="27" t="s">
        <v>606</v>
      </c>
      <c r="N74" s="27" t="s">
        <v>65</v>
      </c>
      <c r="O74" s="27">
        <v>6</v>
      </c>
      <c r="P74" s="27" t="s">
        <v>254</v>
      </c>
      <c r="Q74" s="27" t="str" cm="1">
        <f t="array" ref="Q74">_xlfn.REGEXEXTRACT(B74,"(?&lt;=//)[^/]+")</f>
        <v>www.txxx.porn</v>
      </c>
      <c r="R74" s="27" t="s">
        <v>685</v>
      </c>
      <c r="S74" s="27" t="s">
        <v>1750</v>
      </c>
      <c r="T74" s="27" t="str" cm="1">
        <f t="array" ref="T74">IF(S74&lt;&gt;"NotApplicable",_xlfn.REGEXEXTRACT(S74,"\d+(?=p)"),"NotApplicable")</f>
        <v>NotApplicable</v>
      </c>
      <c r="U74" s="27" t="s">
        <v>1750</v>
      </c>
      <c r="V74" s="27" t="b">
        <f>ISNUMBER(SEARCH(",",F74))</f>
        <v>0</v>
      </c>
    </row>
    <row r="75" spans="1:22" ht="30" x14ac:dyDescent="0.25">
      <c r="A75" s="27" t="str">
        <f>IF(ISBLANK(N75)=TRUE,"Pending","Done")</f>
        <v>Done</v>
      </c>
      <c r="B75" s="27" t="s">
        <v>652</v>
      </c>
      <c r="C75" s="27">
        <v>0</v>
      </c>
      <c r="D75" s="27" t="str">
        <f>SUBSTITUTE(TRIM(RIGHT(SUBSTITUTE(IF(RIGHT(B75,1)="/",LEFT(B75,LEN(B75)-1),B75),"/",REPT(" ",LEN(B75))),LEN(B75))),"-"," ")</f>
        <v>FemDom?f=pegging</v>
      </c>
      <c r="E75" s="27" t="s">
        <v>1748</v>
      </c>
      <c r="F75" s="27" t="s">
        <v>1749</v>
      </c>
      <c r="G75" s="27" t="s">
        <v>81</v>
      </c>
      <c r="H75" s="27" t="s">
        <v>1750</v>
      </c>
      <c r="I75" s="27" t="s">
        <v>1750</v>
      </c>
      <c r="J75" s="27" t="s">
        <v>1750</v>
      </c>
      <c r="K75" s="27" t="s">
        <v>1750</v>
      </c>
      <c r="L75" s="27" t="s">
        <v>454</v>
      </c>
      <c r="M75" s="27" t="s">
        <v>382</v>
      </c>
      <c r="N75" s="27" t="s">
        <v>65</v>
      </c>
      <c r="O75" s="27">
        <v>6</v>
      </c>
      <c r="P75" s="27" t="s">
        <v>280</v>
      </c>
      <c r="Q75" s="27" t="str" cm="1">
        <f t="array" ref="Q75">_xlfn.REGEXEXTRACT(B75,"(?&lt;=//)[^/]+")</f>
        <v>beeg.com</v>
      </c>
      <c r="R75" s="27" t="s">
        <v>685</v>
      </c>
      <c r="S75" s="27" t="s">
        <v>1750</v>
      </c>
      <c r="T75" s="27" t="str" cm="1">
        <f t="array" ref="T75">IF(S75&lt;&gt;"NotApplicable",_xlfn.REGEXEXTRACT(S75,"\d+(?=p)"),"NotApplicable")</f>
        <v>NotApplicable</v>
      </c>
      <c r="U75" s="27" t="s">
        <v>1750</v>
      </c>
      <c r="V75" s="27" t="b">
        <f>ISNUMBER(SEARCH(",",F75))</f>
        <v>0</v>
      </c>
    </row>
    <row r="76" spans="1:22" ht="30" x14ac:dyDescent="0.25">
      <c r="A76" s="27" t="str">
        <f>IF(ISBLANK(N76)=TRUE,"Pending","Done")</f>
        <v>Done</v>
      </c>
      <c r="B76" s="27" t="s">
        <v>270</v>
      </c>
      <c r="C76" s="27">
        <v>0</v>
      </c>
      <c r="D76" s="27" t="str">
        <f>SUBSTITUTE(TRIM(RIGHT(SUBSTITUTE(IF(RIGHT(B76,1)="/",LEFT(B76,LEN(B76)-1),B76),"/",REPT(" ",LEN(B76))),LEN(B76))),"-"," ")</f>
        <v>chastity</v>
      </c>
      <c r="E76" s="27" t="s">
        <v>1748</v>
      </c>
      <c r="F76" s="27" t="s">
        <v>1749</v>
      </c>
      <c r="G76" s="27" t="s">
        <v>81</v>
      </c>
      <c r="H76" s="27" t="s">
        <v>1750</v>
      </c>
      <c r="I76" s="27" t="s">
        <v>1750</v>
      </c>
      <c r="J76" s="27" t="s">
        <v>1750</v>
      </c>
      <c r="K76" s="27" t="s">
        <v>1750</v>
      </c>
      <c r="L76" s="27" t="s">
        <v>352</v>
      </c>
      <c r="M76" s="27" t="s">
        <v>610</v>
      </c>
      <c r="N76" s="27" t="s">
        <v>65</v>
      </c>
      <c r="O76" s="27">
        <v>6</v>
      </c>
      <c r="P76" s="27" t="s">
        <v>285</v>
      </c>
      <c r="Q76" s="27" t="str" cm="1">
        <f t="array" ref="Q76">_xlfn.REGEXEXTRACT(B76,"(?&lt;=//)[^/]+")</f>
        <v>www.fuq.com</v>
      </c>
      <c r="R76" s="27" t="s">
        <v>685</v>
      </c>
      <c r="S76" s="27" t="s">
        <v>1750</v>
      </c>
      <c r="T76" s="27" t="str" cm="1">
        <f t="array" ref="T76">IF(S76&lt;&gt;"NotApplicable",_xlfn.REGEXEXTRACT(S76,"\d+(?=p)"),"NotApplicable")</f>
        <v>NotApplicable</v>
      </c>
      <c r="U76" s="27" t="s">
        <v>1750</v>
      </c>
      <c r="V76" s="27" t="b">
        <f>ISNUMBER(SEARCH(",",F76))</f>
        <v>0</v>
      </c>
    </row>
    <row r="77" spans="1:22" ht="30" x14ac:dyDescent="0.25">
      <c r="A77" s="27" t="str">
        <f>IF(ISBLANK(N77)=TRUE,"Pending","Done")</f>
        <v>Done</v>
      </c>
      <c r="B77" s="27" t="s">
        <v>268</v>
      </c>
      <c r="C77" s="27">
        <v>0</v>
      </c>
      <c r="D77" s="27" t="str">
        <f>SUBSTITUTE(TRIM(RIGHT(SUBSTITUTE(IF(RIGHT(B77,1)="/",LEFT(B77,LEN(B77)-1),B77),"/",REPT(" ",LEN(B77))),LEN(B77))),"-"," ")</f>
        <v>femdom handjob</v>
      </c>
      <c r="E77" s="27" t="s">
        <v>1748</v>
      </c>
      <c r="F77" s="27" t="s">
        <v>1749</v>
      </c>
      <c r="G77" s="27" t="s">
        <v>81</v>
      </c>
      <c r="H77" s="27" t="s">
        <v>1750</v>
      </c>
      <c r="I77" s="27" t="s">
        <v>1750</v>
      </c>
      <c r="J77" s="27" t="s">
        <v>1750</v>
      </c>
      <c r="K77" s="27" t="s">
        <v>1750</v>
      </c>
      <c r="L77" s="27" t="s">
        <v>451</v>
      </c>
      <c r="M77" s="27" t="s">
        <v>700</v>
      </c>
      <c r="N77" s="27" t="s">
        <v>65</v>
      </c>
      <c r="O77" s="27">
        <v>6</v>
      </c>
      <c r="P77" s="27" t="s">
        <v>283</v>
      </c>
      <c r="Q77" s="27" t="str" cm="1">
        <f t="array" ref="Q77">_xlfn.REGEXEXTRACT(B77,"(?&lt;=//)[^/]+")</f>
        <v>www.fuq.com</v>
      </c>
      <c r="R77" s="27" t="s">
        <v>685</v>
      </c>
      <c r="S77" s="27" t="s">
        <v>1750</v>
      </c>
      <c r="T77" s="27" t="str" cm="1">
        <f t="array" ref="T77">IF(S77&lt;&gt;"NotApplicable",_xlfn.REGEXEXTRACT(S77,"\d+(?=p)"),"NotApplicable")</f>
        <v>NotApplicable</v>
      </c>
      <c r="U77" s="27" t="s">
        <v>1750</v>
      </c>
      <c r="V77" s="27" t="b">
        <f>ISNUMBER(SEARCH(",",F77))</f>
        <v>0</v>
      </c>
    </row>
    <row r="78" spans="1:22" ht="30" x14ac:dyDescent="0.25">
      <c r="A78" s="27" t="str">
        <f>IF(ISBLANK(N78)=TRUE,"Pending","Done")</f>
        <v>Done</v>
      </c>
      <c r="B78" s="27" t="s">
        <v>653</v>
      </c>
      <c r="C78" s="27">
        <v>0</v>
      </c>
      <c r="D78" s="27" t="str">
        <f>SUBSTITUTE(TRIM(RIGHT(SUBSTITUTE(IF(RIGHT(B78,1)="/",LEFT(B78,LEN(B78)-1),B78),"/",REPT(" ",LEN(B78))),LEN(B78))),"-"," ")</f>
        <v>femdom pegging</v>
      </c>
      <c r="E78" s="27" t="s">
        <v>1748</v>
      </c>
      <c r="F78" s="27" t="s">
        <v>1749</v>
      </c>
      <c r="G78" s="27" t="s">
        <v>81</v>
      </c>
      <c r="H78" s="27" t="s">
        <v>1750</v>
      </c>
      <c r="I78" s="27" t="s">
        <v>1750</v>
      </c>
      <c r="J78" s="27" t="s">
        <v>1750</v>
      </c>
      <c r="K78" s="27" t="s">
        <v>1750</v>
      </c>
      <c r="L78" s="27" t="s">
        <v>530</v>
      </c>
      <c r="M78" s="27" t="s">
        <v>383</v>
      </c>
      <c r="N78" s="27" t="s">
        <v>65</v>
      </c>
      <c r="O78" s="27">
        <v>6</v>
      </c>
      <c r="P78" s="27" t="s">
        <v>459</v>
      </c>
      <c r="Q78" s="27" t="str" cm="1">
        <f t="array" ref="Q78">_xlfn.REGEXEXTRACT(B78,"(?&lt;=//)[^/]+")</f>
        <v>www.fuq.com</v>
      </c>
      <c r="R78" s="27" t="s">
        <v>685</v>
      </c>
      <c r="S78" s="27" t="s">
        <v>1750</v>
      </c>
      <c r="T78" s="27" t="str" cm="1">
        <f t="array" ref="T78">IF(S78&lt;&gt;"NotApplicable",_xlfn.REGEXEXTRACT(S78,"\d+(?=p)"),"NotApplicable")</f>
        <v>NotApplicable</v>
      </c>
      <c r="U78" s="27" t="s">
        <v>1750</v>
      </c>
      <c r="V78" s="27" t="b">
        <f>ISNUMBER(SEARCH(",",F78))</f>
        <v>0</v>
      </c>
    </row>
    <row r="79" spans="1:22" ht="30" x14ac:dyDescent="0.25">
      <c r="A79" s="27" t="str">
        <f>IF(ISBLANK(N79)=TRUE,"Pending","Done")</f>
        <v>Done</v>
      </c>
      <c r="B79" s="27" t="s">
        <v>311</v>
      </c>
      <c r="C79" s="27">
        <v>0</v>
      </c>
      <c r="D79" s="27" t="str">
        <f>SUBSTITUTE(TRIM(RIGHT(SUBSTITUTE(IF(RIGHT(B79,1)="/",LEFT(B79,LEN(B79)-1),B79),"/",REPT(" ",LEN(B79))),LEN(B79))),"-"," ")</f>
        <v>strap on femdom</v>
      </c>
      <c r="E79" s="27" t="s">
        <v>1748</v>
      </c>
      <c r="F79" s="27" t="s">
        <v>1749</v>
      </c>
      <c r="G79" s="27" t="s">
        <v>81</v>
      </c>
      <c r="H79" s="27" t="s">
        <v>1750</v>
      </c>
      <c r="I79" s="27" t="s">
        <v>1750</v>
      </c>
      <c r="J79" s="27" t="s">
        <v>1750</v>
      </c>
      <c r="K79" s="27" t="s">
        <v>1750</v>
      </c>
      <c r="L79" s="27" t="s">
        <v>1743</v>
      </c>
      <c r="M79" s="27" t="s">
        <v>597</v>
      </c>
      <c r="N79" s="27" t="s">
        <v>65</v>
      </c>
      <c r="O79" s="27">
        <v>6</v>
      </c>
      <c r="P79" s="27" t="s">
        <v>420</v>
      </c>
      <c r="Q79" s="27" t="str" cm="1">
        <f t="array" ref="Q79">_xlfn.REGEXEXTRACT(B79,"(?&lt;=//)[^/]+")</f>
        <v>www.tubebdsm.com</v>
      </c>
      <c r="R79" s="27" t="s">
        <v>685</v>
      </c>
      <c r="S79" s="27" t="s">
        <v>1750</v>
      </c>
      <c r="T79" s="27" t="str" cm="1">
        <f t="array" ref="T79">IF(S79&lt;&gt;"NotApplicable",_xlfn.REGEXEXTRACT(S79,"\d+(?=p)"),"NotApplicable")</f>
        <v>NotApplicable</v>
      </c>
      <c r="U79" s="27" t="s">
        <v>1750</v>
      </c>
      <c r="V79" s="27" t="b">
        <f>ISNUMBER(SEARCH(",",F79))</f>
        <v>0</v>
      </c>
    </row>
    <row r="80" spans="1:22" ht="30" x14ac:dyDescent="0.25">
      <c r="A80" s="27" t="str">
        <f>IF(ISBLANK(N80)=TRUE,"Pending","Done")</f>
        <v>Done</v>
      </c>
      <c r="B80" s="27" t="s">
        <v>2296</v>
      </c>
      <c r="C80" s="27">
        <v>50</v>
      </c>
      <c r="D80" s="27" t="str">
        <f>SUBSTITUTE(TRIM(RIGHT(SUBSTITUTE(IF(RIGHT(B80,1)="/",LEFT(B80,LEN(B80)-1),B80),"/",REPT(" ",LEN(B80))),LEN(B80))),"-"," ")</f>
        <v>the reward</v>
      </c>
      <c r="E80" s="27" t="s">
        <v>843</v>
      </c>
      <c r="F80" s="27" t="s">
        <v>345</v>
      </c>
      <c r="G80" s="27" t="s">
        <v>81</v>
      </c>
      <c r="H80" s="27" t="s">
        <v>2295</v>
      </c>
      <c r="I80" s="27" t="s">
        <v>2295</v>
      </c>
      <c r="J80" s="27" t="s">
        <v>1750</v>
      </c>
      <c r="K80" s="27" t="s">
        <v>1750</v>
      </c>
      <c r="L80" s="27" t="s">
        <v>1681</v>
      </c>
      <c r="M80" s="27" t="s">
        <v>626</v>
      </c>
      <c r="N80" s="27" t="s">
        <v>65</v>
      </c>
      <c r="O80" s="27">
        <v>6</v>
      </c>
      <c r="P80" s="27" t="s">
        <v>2297</v>
      </c>
      <c r="Q80" s="27" t="str" cm="1">
        <f t="array" ref="Q80">_xlfn.REGEXEXTRACT(B80,"(?&lt;=//)[^/]+")</f>
        <v>bdsmstreak.com</v>
      </c>
      <c r="R80" s="27" t="s">
        <v>685</v>
      </c>
      <c r="S80" s="27" t="s">
        <v>1750</v>
      </c>
      <c r="T80" s="27" t="str" cm="1">
        <f t="array" ref="T80">IF(S80&lt;&gt;"NotApplicable",_xlfn.REGEXEXTRACT(S80,"\d+(?=p)"),"NotApplicable")</f>
        <v>NotApplicable</v>
      </c>
      <c r="U80" s="27" t="s">
        <v>1750</v>
      </c>
      <c r="V80" s="27" t="b">
        <f>ISNUMBER(SEARCH(",",F80))</f>
        <v>1</v>
      </c>
    </row>
    <row r="81" spans="1:22" ht="30" x14ac:dyDescent="0.25">
      <c r="A81" s="27" t="str">
        <f>IF(ISBLANK(N81)=TRUE,"Pending","Done")</f>
        <v>Done</v>
      </c>
      <c r="B81" s="27" t="s">
        <v>51</v>
      </c>
      <c r="C81" s="27">
        <v>49</v>
      </c>
      <c r="D81" s="27" t="str">
        <f>SUBSTITUTE(TRIM(RIGHT(SUBSTITUTE(IF(RIGHT(B81,1)="/",LEFT(B81,LEN(B81)-1),B81),"/",REPT(" ",LEN(B81))),LEN(B81))),"-"," ")</f>
        <v>piper perri gets it rough</v>
      </c>
      <c r="E81" s="27" t="s">
        <v>1747</v>
      </c>
      <c r="F81" s="27" t="s">
        <v>77</v>
      </c>
      <c r="G81" s="27" t="s">
        <v>69</v>
      </c>
      <c r="H81" s="27" t="s">
        <v>2298</v>
      </c>
      <c r="I81" s="27" t="s">
        <v>2299</v>
      </c>
      <c r="J81" s="27" t="s">
        <v>1750</v>
      </c>
      <c r="K81" s="27" t="s">
        <v>1750</v>
      </c>
      <c r="L81" s="27" t="s">
        <v>545</v>
      </c>
      <c r="M81" s="27" t="s">
        <v>375</v>
      </c>
      <c r="N81" s="27" t="s">
        <v>65</v>
      </c>
      <c r="O81" s="27">
        <v>6</v>
      </c>
      <c r="P81" s="27" t="s">
        <v>103</v>
      </c>
      <c r="Q81" s="27" t="str" cm="1">
        <f t="array" ref="Q81">_xlfn.REGEXEXTRACT(B81,"(?&lt;=//)[^/]+")</f>
        <v>bdsmstreak.com</v>
      </c>
      <c r="R81" s="27" t="s">
        <v>685</v>
      </c>
      <c r="S81" s="27" t="s">
        <v>1750</v>
      </c>
      <c r="T81" s="27" t="str" cm="1">
        <f t="array" ref="T81">IF(S81&lt;&gt;"NotApplicable",_xlfn.REGEXEXTRACT(S81,"\d+(?=p)"),"NotApplicable")</f>
        <v>NotApplicable</v>
      </c>
      <c r="U81" s="27" t="s">
        <v>1750</v>
      </c>
      <c r="V81" s="27" t="b">
        <f>ISNUMBER(SEARCH(",",F81))</f>
        <v>0</v>
      </c>
    </row>
    <row r="82" spans="1:22" ht="30" x14ac:dyDescent="0.25">
      <c r="A82" s="27" t="str">
        <f>IF(ISBLANK(N82)=TRUE,"Pending","Done")</f>
        <v>Done</v>
      </c>
      <c r="B82" s="27" t="s">
        <v>135</v>
      </c>
      <c r="C82" s="27">
        <v>0</v>
      </c>
      <c r="D82" s="27" t="str">
        <f>SUBSTITUTE(TRIM(RIGHT(SUBSTITUTE(IF(RIGHT(B82,1)="/",LEFT(B82,LEN(B82)-1),B82),"/",REPT(" ",LEN(B82))),LEN(B82))),"-"," ")</f>
        <v>InnocentHigh</v>
      </c>
      <c r="E82" s="27" t="s">
        <v>444</v>
      </c>
      <c r="F82" s="27" t="s">
        <v>172</v>
      </c>
      <c r="G82" s="27" t="s">
        <v>154</v>
      </c>
      <c r="H82" s="27" t="s">
        <v>1750</v>
      </c>
      <c r="I82" s="27" t="s">
        <v>1750</v>
      </c>
      <c r="J82" s="27" t="s">
        <v>1750</v>
      </c>
      <c r="K82" s="27" t="s">
        <v>1750</v>
      </c>
      <c r="L82" s="27" t="s">
        <v>350</v>
      </c>
      <c r="M82" s="27" t="s">
        <v>381</v>
      </c>
      <c r="N82" s="27" t="s">
        <v>65</v>
      </c>
      <c r="O82" s="27">
        <v>6</v>
      </c>
      <c r="P82" s="27" t="s">
        <v>233</v>
      </c>
      <c r="Q82" s="27" t="str" cm="1">
        <f t="array" ref="Q82">_xlfn.REGEXEXTRACT(B82,"(?&lt;=//)[^/]+")</f>
        <v>pornxp.com</v>
      </c>
      <c r="R82" s="27" t="s">
        <v>685</v>
      </c>
      <c r="S82" s="27" t="s">
        <v>1750</v>
      </c>
      <c r="T82" s="27" t="str" cm="1">
        <f t="array" ref="T82">IF(S82&lt;&gt;"NotApplicable",_xlfn.REGEXEXTRACT(S82,"\d+(?=p)"),"NotApplicable")</f>
        <v>NotApplicable</v>
      </c>
      <c r="U82" s="27" t="s">
        <v>1750</v>
      </c>
      <c r="V82" s="27" t="b">
        <f>ISNUMBER(SEARCH(",",F82))</f>
        <v>0</v>
      </c>
    </row>
    <row r="83" spans="1:22" ht="30" x14ac:dyDescent="0.25">
      <c r="A83" s="27" t="str">
        <f>IF(ISBLANK(N83)=TRUE,"Pending","Done")</f>
        <v>Done</v>
      </c>
      <c r="B83" s="27" t="s">
        <v>134</v>
      </c>
      <c r="C83" s="27">
        <v>40</v>
      </c>
      <c r="D83" s="27" t="str">
        <f>SUBSTITUTE(TRIM(RIGHT(SUBSTITUTE(IF(RIGHT(B83,1)="/",LEFT(B83,LEN(B83)-1),B83),"/",REPT(" ",LEN(B83))),LEN(B83))),"-"," ")</f>
        <v>video6077551</v>
      </c>
      <c r="E83" s="27" t="s">
        <v>178</v>
      </c>
      <c r="F83" s="27" t="s">
        <v>1738</v>
      </c>
      <c r="G83" s="27" t="s">
        <v>155</v>
      </c>
      <c r="H83" s="27" t="s">
        <v>2310</v>
      </c>
      <c r="I83" s="27" t="s">
        <v>2309</v>
      </c>
      <c r="J83" s="27" t="s">
        <v>1750</v>
      </c>
      <c r="K83" s="27" t="s">
        <v>1750</v>
      </c>
      <c r="L83" s="27" t="s">
        <v>1737</v>
      </c>
      <c r="M83" s="27" t="s">
        <v>379</v>
      </c>
      <c r="N83" s="27" t="s">
        <v>65</v>
      </c>
      <c r="O83" s="27">
        <v>6</v>
      </c>
      <c r="P83" s="27" t="s">
        <v>179</v>
      </c>
      <c r="Q83" s="27" t="str" cm="1">
        <f t="array" ref="Q83">_xlfn.REGEXEXTRACT(B83,"(?&lt;=//)[^/]+")</f>
        <v>www.tnaflix.com</v>
      </c>
      <c r="R83" s="27" t="s">
        <v>685</v>
      </c>
      <c r="S83" s="27" t="s">
        <v>1750</v>
      </c>
      <c r="T83" s="27" t="str" cm="1">
        <f t="array" ref="T83">IF(S83&lt;&gt;"NotApplicable",_xlfn.REGEXEXTRACT(S83,"\d+(?=p)"),"NotApplicable")</f>
        <v>NotApplicable</v>
      </c>
      <c r="U83" s="27" t="s">
        <v>1750</v>
      </c>
      <c r="V83" s="27" t="b">
        <f>ISNUMBER(SEARCH(",",F83))</f>
        <v>1</v>
      </c>
    </row>
    <row r="84" spans="1:22" ht="30" x14ac:dyDescent="0.25">
      <c r="A84" s="27" t="str">
        <f>IF(ISBLANK(N84)=TRUE,"Pending","Done")</f>
        <v>Done</v>
      </c>
      <c r="B84" s="27" t="s">
        <v>2403</v>
      </c>
      <c r="C84" s="27">
        <v>32</v>
      </c>
      <c r="D84" s="27" t="str">
        <f>SUBSTITUTE(TRIM(RIGHT(SUBSTITUTE(IF(RIGHT(B84,1)="/",LEFT(B84,LEN(B84)-1),B84),"/",REPT(" ",LEN(B84))),LEN(B84))),"-"," ")</f>
        <v>?campaign_id=520379779&amp;subid1=79779</v>
      </c>
      <c r="E84" s="27" t="s">
        <v>1747</v>
      </c>
      <c r="F84" s="27" t="s">
        <v>1749</v>
      </c>
      <c r="G84" s="27" t="s">
        <v>166</v>
      </c>
      <c r="H84" s="27" t="s">
        <v>1750</v>
      </c>
      <c r="I84" s="27" t="s">
        <v>2404</v>
      </c>
      <c r="J84" s="27" t="s">
        <v>1750</v>
      </c>
      <c r="K84" s="27" t="s">
        <v>1750</v>
      </c>
      <c r="L84" s="27" t="s">
        <v>2460</v>
      </c>
      <c r="M84" s="27" t="s">
        <v>79</v>
      </c>
      <c r="N84" s="27" t="s">
        <v>65</v>
      </c>
      <c r="O84" s="27">
        <v>6</v>
      </c>
      <c r="P84" s="27" t="s">
        <v>2405</v>
      </c>
      <c r="Q84" s="27" t="str" cm="1">
        <f t="array" ref="Q84">_xlfn.REGEXEXTRACT(B84,"(?&lt;=//)[^/]+")</f>
        <v>abxxx.com</v>
      </c>
      <c r="R84" s="27" t="s">
        <v>685</v>
      </c>
      <c r="S84" s="27" t="s">
        <v>1750</v>
      </c>
      <c r="T84" s="27" t="str" cm="1">
        <f t="array" ref="T84">IF(S84&lt;&gt;"NotApplicable",_xlfn.REGEXEXTRACT(S84,"\d+(?=p)"),"NotApplicable")</f>
        <v>NotApplicable</v>
      </c>
      <c r="U84" s="27" t="s">
        <v>1750</v>
      </c>
      <c r="V84" s="27" t="b">
        <f>ISNUMBER(SEARCH(",",F84))</f>
        <v>0</v>
      </c>
    </row>
    <row r="85" spans="1:22" ht="30" x14ac:dyDescent="0.25">
      <c r="A85" s="27" t="str">
        <f>IF(ISBLANK(N85)=TRUE,"Pending","Done")</f>
        <v>Done</v>
      </c>
      <c r="B85" s="27" t="s">
        <v>4</v>
      </c>
      <c r="C85" s="27">
        <v>48</v>
      </c>
      <c r="D85" s="27" t="str">
        <f>SUBSTITUTE(TRIM(RIGHT(SUBSTITUTE(IF(RIGHT(B85,1)="/",LEFT(B85,LEN(B85)-1),B85),"/",REPT(" ",LEN(B85))),LEN(B85))),"-"," ")</f>
        <v>dungeoncorp helplessness</v>
      </c>
      <c r="E85" s="27" t="s">
        <v>146</v>
      </c>
      <c r="F85" s="27" t="s">
        <v>208</v>
      </c>
      <c r="G85" s="27" t="s">
        <v>70</v>
      </c>
      <c r="H85" s="27" t="s">
        <v>2301</v>
      </c>
      <c r="I85" s="27" t="s">
        <v>2300</v>
      </c>
      <c r="J85" s="27" t="s">
        <v>1750</v>
      </c>
      <c r="K85" s="27" t="s">
        <v>1750</v>
      </c>
      <c r="L85" s="27" t="s">
        <v>490</v>
      </c>
      <c r="M85" s="27" t="s">
        <v>376</v>
      </c>
      <c r="N85" s="27" t="s">
        <v>65</v>
      </c>
      <c r="O85" s="27">
        <v>6</v>
      </c>
      <c r="P85" s="27" t="s">
        <v>555</v>
      </c>
      <c r="Q85" s="27" t="str" cm="1">
        <f t="array" ref="Q85">_xlfn.REGEXEXTRACT(B85,"(?&lt;=//)[^/]+")</f>
        <v>heavyfetish.com</v>
      </c>
      <c r="R85" s="27" t="s">
        <v>685</v>
      </c>
      <c r="S85" s="27" t="s">
        <v>1750</v>
      </c>
      <c r="T85" s="27" t="str" cm="1">
        <f t="array" ref="T85">IF(S85&lt;&gt;"NotApplicable",_xlfn.REGEXEXTRACT(S85,"\d+(?=p)"),"NotApplicable")</f>
        <v>NotApplicable</v>
      </c>
      <c r="U85" s="27" t="s">
        <v>1750</v>
      </c>
      <c r="V85" s="27" t="b">
        <f>ISNUMBER(SEARCH(",",F85))</f>
        <v>0</v>
      </c>
    </row>
    <row r="86" spans="1:22" ht="30" x14ac:dyDescent="0.25">
      <c r="A86" s="27" t="str">
        <f>IF(ISBLANK(N86)=TRUE,"Pending","Done")</f>
        <v>Done</v>
      </c>
      <c r="B86" s="27" t="s">
        <v>2313</v>
      </c>
      <c r="C86" s="27">
        <v>39</v>
      </c>
      <c r="D86" s="27" t="str">
        <f>SUBSTITUTE(TRIM(RIGHT(SUBSTITUTE(IF(RIGHT(B86,1)="/",LEFT(B86,LEN(B86)-1),B86),"/",REPT(" ",LEN(B86))),LEN(B86))),"-"," ")</f>
        <v>infernal restraints dakota marr wrong house pretzel</v>
      </c>
      <c r="E86" s="27" t="s">
        <v>2318</v>
      </c>
      <c r="F86" s="27" t="s">
        <v>176</v>
      </c>
      <c r="G86" s="27" t="s">
        <v>70</v>
      </c>
      <c r="H86" s="27" t="s">
        <v>2312</v>
      </c>
      <c r="I86" s="27" t="s">
        <v>2311</v>
      </c>
      <c r="J86" s="27" t="s">
        <v>1750</v>
      </c>
      <c r="K86" s="27" t="s">
        <v>1750</v>
      </c>
      <c r="L86" s="27" t="s">
        <v>522</v>
      </c>
      <c r="M86" s="27" t="s">
        <v>380</v>
      </c>
      <c r="N86" s="27" t="s">
        <v>65</v>
      </c>
      <c r="O86" s="27">
        <v>6</v>
      </c>
      <c r="P86" s="27" t="s">
        <v>177</v>
      </c>
      <c r="Q86" s="27" t="str" cm="1">
        <f t="array" ref="Q86">_xlfn.REGEXEXTRACT(B86,"(?&lt;=//)[^/]+")</f>
        <v>bdsmstreak.com</v>
      </c>
      <c r="R86" s="27" t="s">
        <v>685</v>
      </c>
      <c r="S86" s="27" t="s">
        <v>1750</v>
      </c>
      <c r="T86" s="27" t="str" cm="1">
        <f t="array" ref="T86">IF(S86&lt;&gt;"NotApplicable",_xlfn.REGEXEXTRACT(S86,"\d+(?=p)"),"NotApplicable")</f>
        <v>NotApplicable</v>
      </c>
      <c r="U86" s="27" t="s">
        <v>1750</v>
      </c>
      <c r="V86" s="27" t="b">
        <f>ISNUMBER(SEARCH(",",F86))</f>
        <v>0</v>
      </c>
    </row>
    <row r="87" spans="1:22" ht="30" x14ac:dyDescent="0.25">
      <c r="A87" s="27" t="str">
        <f>IF(ISBLANK(N87)=TRUE,"Pending","Done")</f>
        <v>Done</v>
      </c>
      <c r="B87" s="27" t="s">
        <v>2302</v>
      </c>
      <c r="C87" s="27">
        <v>46</v>
      </c>
      <c r="D87" s="27" t="str">
        <f>SUBSTITUTE(TRIM(RIGHT(SUBSTITUTE(IF(RIGHT(B87,1)="/",LEFT(B87,LEN(B87)-1),B87),"/",REPT(" ",LEN(B87))),LEN(B87))),"-"," ")</f>
        <v>infernal restraints katie kush crush</v>
      </c>
      <c r="E87" s="27" t="s">
        <v>2318</v>
      </c>
      <c r="F87" s="27" t="s">
        <v>145</v>
      </c>
      <c r="G87" s="27" t="s">
        <v>70</v>
      </c>
      <c r="H87" s="27" t="s">
        <v>2304</v>
      </c>
      <c r="I87" s="27" t="s">
        <v>2303</v>
      </c>
      <c r="J87" s="27" t="s">
        <v>1750</v>
      </c>
      <c r="K87" s="27" t="s">
        <v>1750</v>
      </c>
      <c r="L87" s="27" t="s">
        <v>521</v>
      </c>
      <c r="M87" s="27" t="s">
        <v>377</v>
      </c>
      <c r="N87" s="27" t="s">
        <v>65</v>
      </c>
      <c r="O87" s="27">
        <v>6</v>
      </c>
      <c r="P87" s="27" t="s">
        <v>223</v>
      </c>
      <c r="Q87" s="27" t="str" cm="1">
        <f t="array" ref="Q87">_xlfn.REGEXEXTRACT(B87,"(?&lt;=//)[^/]+")</f>
        <v>bdsmstreak.com</v>
      </c>
      <c r="R87" s="27" t="s">
        <v>685</v>
      </c>
      <c r="S87" s="27" t="s">
        <v>1750</v>
      </c>
      <c r="T87" s="27" t="str" cm="1">
        <f t="array" ref="T87">IF(S87&lt;&gt;"NotApplicable",_xlfn.REGEXEXTRACT(S87,"\d+(?=p)"),"NotApplicable")</f>
        <v>NotApplicable</v>
      </c>
      <c r="U87" s="27" t="s">
        <v>1750</v>
      </c>
      <c r="V87" s="27" t="b">
        <f>ISNUMBER(SEARCH(",",F87))</f>
        <v>0</v>
      </c>
    </row>
    <row r="88" spans="1:22" ht="30" x14ac:dyDescent="0.25">
      <c r="A88" s="27" t="str">
        <f>IF(ISBLANK(N88)=TRUE,"Pending","Done")</f>
        <v>Done</v>
      </c>
      <c r="B88" s="27" t="s">
        <v>34</v>
      </c>
      <c r="C88" s="27">
        <v>44</v>
      </c>
      <c r="D88" s="27" t="str">
        <f>SUBSTITUTE(TRIM(RIGHT(SUBSTITUTE(IF(RIGHT(B88,1)="/",LEFT(B88,LEN(B88)-1),B88),"/",REPT(" ",LEN(B88))),LEN(B88))),"-"," ")</f>
        <v>hardtied cherie deville deception</v>
      </c>
      <c r="E88" s="27" t="s">
        <v>2319</v>
      </c>
      <c r="F88" s="27" t="s">
        <v>185</v>
      </c>
      <c r="G88" s="27" t="s">
        <v>70</v>
      </c>
      <c r="H88" s="27" t="s">
        <v>2308</v>
      </c>
      <c r="I88" s="27" t="s">
        <v>2307</v>
      </c>
      <c r="J88" s="27" t="s">
        <v>1750</v>
      </c>
      <c r="K88" s="27" t="s">
        <v>1750</v>
      </c>
      <c r="L88" s="27" t="s">
        <v>532</v>
      </c>
      <c r="M88" s="27" t="s">
        <v>629</v>
      </c>
      <c r="N88" s="27" t="s">
        <v>65</v>
      </c>
      <c r="O88" s="27">
        <v>6</v>
      </c>
      <c r="P88" s="27" t="s">
        <v>186</v>
      </c>
      <c r="Q88" s="27" t="str" cm="1">
        <f t="array" ref="Q88">_xlfn.REGEXEXTRACT(B88,"(?&lt;=//)[^/]+")</f>
        <v>heavyfetish.com</v>
      </c>
      <c r="R88" s="27" t="s">
        <v>685</v>
      </c>
      <c r="S88" s="27" t="s">
        <v>1750</v>
      </c>
      <c r="T88" s="27" t="str" cm="1">
        <f t="array" ref="T88">IF(S88&lt;&gt;"NotApplicable",_xlfn.REGEXEXTRACT(S88,"\d+(?=p)"),"NotApplicable")</f>
        <v>NotApplicable</v>
      </c>
      <c r="U88" s="27" t="s">
        <v>1750</v>
      </c>
      <c r="V88" s="27" t="b">
        <f>ISNUMBER(SEARCH(",",F88))</f>
        <v>0</v>
      </c>
    </row>
    <row r="89" spans="1:22" ht="45" x14ac:dyDescent="0.25">
      <c r="A89" s="27" t="str">
        <f>IF(ISBLANK(N89)=TRUE,"Pending","Done")</f>
        <v>Done</v>
      </c>
      <c r="B89" s="27" t="s">
        <v>32</v>
      </c>
      <c r="C89" s="27">
        <v>31</v>
      </c>
      <c r="D89" s="27" t="str">
        <f>SUBSTITUTE(TRIM(RIGHT(SUBSTITUTE(IF(RIGHT(B89,1)="/",LEFT(B89,LEN(B89)-1),B89),"/",REPT(" ",LEN(B89))),LEN(B89))),"-"," ")</f>
        <v>lauren phillips and ashley lane used brutally in dungeon</v>
      </c>
      <c r="E89" s="27" t="s">
        <v>2318</v>
      </c>
      <c r="F89" s="27" t="s">
        <v>329</v>
      </c>
      <c r="G89" s="27" t="s">
        <v>70</v>
      </c>
      <c r="H89" s="27" t="s">
        <v>2315</v>
      </c>
      <c r="I89" s="27" t="s">
        <v>2314</v>
      </c>
      <c r="J89" s="27" t="s">
        <v>1750</v>
      </c>
      <c r="K89" s="27" t="s">
        <v>1750</v>
      </c>
      <c r="L89" s="27" t="s">
        <v>1725</v>
      </c>
      <c r="M89" s="27" t="s">
        <v>604</v>
      </c>
      <c r="N89" s="27" t="s">
        <v>65</v>
      </c>
      <c r="O89" s="27">
        <v>6</v>
      </c>
      <c r="P89" s="27" t="s">
        <v>608</v>
      </c>
      <c r="Q89" s="27" t="str" cm="1">
        <f t="array" ref="Q89">_xlfn.REGEXEXTRACT(B89,"(?&lt;=//)[^/]+")</f>
        <v>bdsmstreak.com</v>
      </c>
      <c r="R89" s="27" t="s">
        <v>685</v>
      </c>
      <c r="S89" s="27" t="s">
        <v>1750</v>
      </c>
      <c r="T89" s="27" t="str" cm="1">
        <f t="array" ref="T89">IF(S89&lt;&gt;"NotApplicable",_xlfn.REGEXEXTRACT(S89,"\d+(?=p)"),"NotApplicable")</f>
        <v>NotApplicable</v>
      </c>
      <c r="U89" s="27" t="s">
        <v>1750</v>
      </c>
      <c r="V89" s="27" t="b">
        <f>ISNUMBER(SEARCH(",",F89))</f>
        <v>1</v>
      </c>
    </row>
    <row r="90" spans="1:22" ht="30" x14ac:dyDescent="0.25">
      <c r="A90" s="27" t="str">
        <f>IF(ISBLANK(N90)=TRUE,"Pending","Done")</f>
        <v>Done</v>
      </c>
      <c r="B90" s="27" t="s">
        <v>299</v>
      </c>
      <c r="C90" s="27">
        <v>0</v>
      </c>
      <c r="D90" s="27" t="str">
        <f>SUBSTITUTE(TRIM(RIGHT(SUBSTITUTE(IF(RIGHT(B90,1)="/",LEFT(B90,LEN(B90)-1),B90),"/",REPT(" ",LEN(B90))),LEN(B90))),"-"," ")</f>
        <v>most popular</v>
      </c>
      <c r="E90" s="27" t="s">
        <v>843</v>
      </c>
      <c r="F90" s="27" t="s">
        <v>1749</v>
      </c>
      <c r="G90" s="27" t="s">
        <v>70</v>
      </c>
      <c r="H90" s="27" t="s">
        <v>1750</v>
      </c>
      <c r="I90" s="27" t="s">
        <v>1750</v>
      </c>
      <c r="J90" s="27" t="s">
        <v>1750</v>
      </c>
      <c r="K90" s="27" t="s">
        <v>1750</v>
      </c>
      <c r="L90" s="27" t="s">
        <v>464</v>
      </c>
      <c r="M90" s="27" t="s">
        <v>616</v>
      </c>
      <c r="N90" s="27" t="s">
        <v>65</v>
      </c>
      <c r="O90" s="27">
        <v>6</v>
      </c>
      <c r="P90" s="27" t="s">
        <v>300</v>
      </c>
      <c r="Q90" s="27" t="str" cm="1">
        <f t="array" ref="Q90">_xlfn.REGEXEXTRACT(B90,"(?&lt;=//)[^/]+")</f>
        <v>www.porntry.com</v>
      </c>
      <c r="R90" s="27" t="s">
        <v>685</v>
      </c>
      <c r="S90" s="27" t="s">
        <v>1750</v>
      </c>
      <c r="T90" s="27" t="str" cm="1">
        <f t="array" ref="T90">IF(S90&lt;&gt;"NotApplicable",_xlfn.REGEXEXTRACT(S90,"\d+(?=p)"),"NotApplicable")</f>
        <v>NotApplicable</v>
      </c>
      <c r="U90" s="27" t="s">
        <v>1750</v>
      </c>
      <c r="V90" s="27" t="b">
        <f>ISNUMBER(SEARCH(",",F90))</f>
        <v>0</v>
      </c>
    </row>
    <row r="91" spans="1:22" ht="45" x14ac:dyDescent="0.25">
      <c r="A91" s="27" t="str">
        <f>IF(ISBLANK(N91)=TRUE,"Pending","Done")</f>
        <v>Done</v>
      </c>
      <c r="B91" s="27" t="s">
        <v>255</v>
      </c>
      <c r="C91" s="27">
        <v>0</v>
      </c>
      <c r="D91" s="27" t="str">
        <f>SUBSTITUTE(TRIM(RIGHT(SUBSTITUTE(IF(RIGHT(B91,1)="/",LEFT(B91,LEN(B91)-1),B91),"/",REPT(" ",LEN(B91))),LEN(B91))),"-"," ")</f>
        <v>kink</v>
      </c>
      <c r="E91" s="27" t="s">
        <v>842</v>
      </c>
      <c r="F91" s="27" t="s">
        <v>1749</v>
      </c>
      <c r="G91" s="27" t="s">
        <v>70</v>
      </c>
      <c r="H91" s="27" t="s">
        <v>1750</v>
      </c>
      <c r="I91" s="27" t="s">
        <v>1750</v>
      </c>
      <c r="J91" s="27" t="s">
        <v>1750</v>
      </c>
      <c r="K91" s="27" t="s">
        <v>1750</v>
      </c>
      <c r="L91" s="27" t="s">
        <v>351</v>
      </c>
      <c r="M91" s="27" t="s">
        <v>702</v>
      </c>
      <c r="N91" s="27" t="s">
        <v>65</v>
      </c>
      <c r="O91" s="27">
        <v>6</v>
      </c>
      <c r="P91" s="27" t="s">
        <v>257</v>
      </c>
      <c r="Q91" s="27" t="str" cm="1">
        <f t="array" ref="Q91">_xlfn.REGEXEXTRACT(B91,"(?&lt;=//)[^/]+")</f>
        <v>www.txxx.porn</v>
      </c>
      <c r="R91" s="27" t="s">
        <v>685</v>
      </c>
      <c r="S91" s="27" t="s">
        <v>1750</v>
      </c>
      <c r="T91" s="27" t="str" cm="1">
        <f t="array" ref="T91">IF(S91&lt;&gt;"NotApplicable",_xlfn.REGEXEXTRACT(S91,"\d+(?=p)"),"NotApplicable")</f>
        <v>NotApplicable</v>
      </c>
      <c r="U91" s="27" t="s">
        <v>1750</v>
      </c>
      <c r="V91" s="27" t="b">
        <f>ISNUMBER(SEARCH(",",F91))</f>
        <v>0</v>
      </c>
    </row>
    <row r="92" spans="1:22" ht="30" x14ac:dyDescent="0.25">
      <c r="A92" s="27" t="str">
        <f>IF(ISBLANK(N92)=TRUE,"Pending","Done")</f>
        <v>Done</v>
      </c>
      <c r="B92" s="27" t="s">
        <v>307</v>
      </c>
      <c r="C92" s="27">
        <v>0</v>
      </c>
      <c r="D92" s="27" t="str">
        <f>SUBSTITUTE(TRIM(RIGHT(SUBSTITUTE(IF(RIGHT(B92,1)="/",LEFT(B92,LEN(B92)-1),B92),"/",REPT(" ",LEN(B92))),LEN(B92))),"-"," ")</f>
        <v>bdsm extreme</v>
      </c>
      <c r="E92" s="27" t="s">
        <v>1748</v>
      </c>
      <c r="F92" s="27" t="s">
        <v>1749</v>
      </c>
      <c r="G92" s="27" t="s">
        <v>70</v>
      </c>
      <c r="H92" s="27" t="s">
        <v>1750</v>
      </c>
      <c r="I92" s="27" t="s">
        <v>1750</v>
      </c>
      <c r="J92" s="27" t="s">
        <v>1750</v>
      </c>
      <c r="K92" s="27" t="s">
        <v>1750</v>
      </c>
      <c r="L92" s="27" t="s">
        <v>535</v>
      </c>
      <c r="M92" s="27" t="s">
        <v>596</v>
      </c>
      <c r="N92" s="27" t="s">
        <v>65</v>
      </c>
      <c r="O92" s="27">
        <v>6</v>
      </c>
      <c r="P92" s="27" t="s">
        <v>419</v>
      </c>
      <c r="Q92" s="27" t="str" cm="1">
        <f t="array" ref="Q92">_xlfn.REGEXEXTRACT(B92,"(?&lt;=//)[^/]+")</f>
        <v>www.tubebdsm.com</v>
      </c>
      <c r="R92" s="27" t="s">
        <v>685</v>
      </c>
      <c r="S92" s="27" t="s">
        <v>1750</v>
      </c>
      <c r="T92" s="27" t="str" cm="1">
        <f t="array" ref="T92">IF(S92&lt;&gt;"NotApplicable",_xlfn.REGEXEXTRACT(S92,"\d+(?=p)"),"NotApplicable")</f>
        <v>NotApplicable</v>
      </c>
      <c r="U92" s="27" t="s">
        <v>1750</v>
      </c>
      <c r="V92" s="27" t="b">
        <f>ISNUMBER(SEARCH(",",F92))</f>
        <v>0</v>
      </c>
    </row>
    <row r="93" spans="1:22" ht="30" x14ac:dyDescent="0.25">
      <c r="A93" s="27" t="str">
        <f>IF(ISBLANK(N93)=TRUE,"Pending","Done")</f>
        <v>Done</v>
      </c>
      <c r="B93" s="27" t="s">
        <v>1544</v>
      </c>
      <c r="C93" s="27">
        <v>19</v>
      </c>
      <c r="D93" s="27" t="str">
        <f>SUBSTITUTE(TRIM(RIGHT(SUBSTITUTE(IF(RIGHT(B93,1)="/",LEFT(B93,LEN(B93)-1),B93),"/",REPT(" ",LEN(B93))),LEN(B93))),"-"," ")</f>
        <v>annabelle leeno mas no mas</v>
      </c>
      <c r="E93" s="27" t="s">
        <v>853</v>
      </c>
      <c r="F93" s="27" t="s">
        <v>224</v>
      </c>
      <c r="G93" s="27" t="s">
        <v>70</v>
      </c>
      <c r="H93" s="27" t="s">
        <v>2166</v>
      </c>
      <c r="I93" s="27" t="s">
        <v>2166</v>
      </c>
      <c r="J93" s="27" t="s">
        <v>1750</v>
      </c>
      <c r="K93" s="27" t="s">
        <v>1750</v>
      </c>
      <c r="L93" s="27" t="s">
        <v>2167</v>
      </c>
      <c r="M93" s="27" t="s">
        <v>1654</v>
      </c>
      <c r="N93" s="27" t="s">
        <v>65</v>
      </c>
      <c r="O93" s="27">
        <v>6</v>
      </c>
      <c r="P93" s="27" t="s">
        <v>2168</v>
      </c>
      <c r="Q93" s="27" t="str" cm="1">
        <f t="array" ref="Q93">_xlfn.REGEXEXTRACT(B93,"(?&lt;=//)[^/]+")</f>
        <v>hcbdsm.com</v>
      </c>
      <c r="R93" s="27" t="s">
        <v>685</v>
      </c>
      <c r="S93" s="27" t="s">
        <v>1750</v>
      </c>
      <c r="T93" s="27" t="str" cm="1">
        <f t="array" ref="T93">IF(S93&lt;&gt;"NotApplicable",_xlfn.REGEXEXTRACT(S93,"\d+(?=p)"),"NotApplicable")</f>
        <v>NotApplicable</v>
      </c>
      <c r="U93" s="27" t="s">
        <v>1750</v>
      </c>
      <c r="V93" s="27" t="b">
        <f>ISNUMBER(SEARCH(",",F93))</f>
        <v>0</v>
      </c>
    </row>
    <row r="94" spans="1:22" ht="40.5" customHeight="1" x14ac:dyDescent="0.25">
      <c r="A94" s="27" t="str">
        <f>IF(ISBLANK(N94)=TRUE,"Pending","Done")</f>
        <v>Done</v>
      </c>
      <c r="B94" s="27" t="s">
        <v>2288</v>
      </c>
      <c r="C94" s="27">
        <v>53</v>
      </c>
      <c r="D94" s="27" t="str">
        <f>SUBSTITUTE(TRIM(RIGHT(SUBSTITUTE(IF(RIGHT(B94,1)="/",LEFT(B94,LEN(B94)-1),B94),"/",REPT(" ",LEN(B94))),LEN(B94))),"-"," ")</f>
        <v>flood submissive women bound in metal and made to squirt</v>
      </c>
      <c r="E94" s="27" t="s">
        <v>853</v>
      </c>
      <c r="F94" s="27" t="s">
        <v>2289</v>
      </c>
      <c r="G94" s="27" t="s">
        <v>70</v>
      </c>
      <c r="H94" s="27" t="s">
        <v>2287</v>
      </c>
      <c r="I94" s="27" t="s">
        <v>2291</v>
      </c>
      <c r="J94" s="27" t="s">
        <v>1750</v>
      </c>
      <c r="K94" s="27" t="s">
        <v>1750</v>
      </c>
      <c r="L94" s="27" t="s">
        <v>561</v>
      </c>
      <c r="M94" s="27" t="s">
        <v>374</v>
      </c>
      <c r="N94" s="27" t="s">
        <v>65</v>
      </c>
      <c r="O94" s="27">
        <v>6</v>
      </c>
      <c r="P94" s="27" t="s">
        <v>2290</v>
      </c>
      <c r="Q94" s="27" t="str" cm="1">
        <f t="array" ref="Q94">_xlfn.REGEXEXTRACT(B94,"(?&lt;=//)[^/]+")</f>
        <v>bdsmmansion.com</v>
      </c>
      <c r="R94" s="27" t="s">
        <v>685</v>
      </c>
      <c r="S94" s="27" t="s">
        <v>1750</v>
      </c>
      <c r="T94" s="27" t="str" cm="1">
        <f t="array" ref="T94">IF(S94&lt;&gt;"NotApplicable",_xlfn.REGEXEXTRACT(S94,"\d+(?=p)"),"NotApplicable")</f>
        <v>NotApplicable</v>
      </c>
      <c r="U94" s="27" t="s">
        <v>1750</v>
      </c>
      <c r="V94" s="27" t="b">
        <f>ISNUMBER(SEARCH(",",F94))</f>
        <v>1</v>
      </c>
    </row>
    <row r="95" spans="1:22" ht="45" x14ac:dyDescent="0.25">
      <c r="A95" s="27" t="str">
        <f>IF(ISBLANK(N95)=TRUE,"Pending","Done")</f>
        <v>Done</v>
      </c>
      <c r="B95" s="27" t="s">
        <v>745</v>
      </c>
      <c r="C95" s="27">
        <v>39</v>
      </c>
      <c r="D95" s="27" t="str">
        <f>SUBSTITUTE(TRIM(RIGHT(SUBSTITUTE(IF(RIGHT(B95,1)="/",LEFT(B95,LEN(B95)-1),B95),"/",REPT(" ",LEN(B95))),LEN(B95))),"-"," ")</f>
        <v>?trx=1227735290aee694b81473a256bea12420712</v>
      </c>
      <c r="E95" s="27" t="s">
        <v>853</v>
      </c>
      <c r="F95" s="27" t="s">
        <v>746</v>
      </c>
      <c r="G95" s="27" t="s">
        <v>70</v>
      </c>
      <c r="H95" s="27" t="s">
        <v>2328</v>
      </c>
      <c r="I95" s="27" t="s">
        <v>2327</v>
      </c>
      <c r="J95" s="27" t="s">
        <v>1750</v>
      </c>
      <c r="K95" s="27" t="s">
        <v>1750</v>
      </c>
      <c r="L95" s="27" t="s">
        <v>800</v>
      </c>
      <c r="M95" s="27" t="s">
        <v>785</v>
      </c>
      <c r="N95" s="27" t="s">
        <v>65</v>
      </c>
      <c r="O95" s="27">
        <v>6</v>
      </c>
      <c r="P95" s="27" t="s">
        <v>784</v>
      </c>
      <c r="Q95" s="27" t="str" cm="1">
        <f t="array" ref="Q95">_xlfn.REGEXEXTRACT(B95,"(?&lt;=//)[^/]+")</f>
        <v>www.eporner.com</v>
      </c>
      <c r="R95" s="27" t="s">
        <v>685</v>
      </c>
      <c r="S95" s="27" t="s">
        <v>1750</v>
      </c>
      <c r="T95" s="27" t="str" cm="1">
        <f t="array" ref="T95">IF(S95&lt;&gt;"NotApplicable",_xlfn.REGEXEXTRACT(S95,"\d+(?=p)"),"NotApplicable")</f>
        <v>NotApplicable</v>
      </c>
      <c r="U95" s="27" t="s">
        <v>1750</v>
      </c>
      <c r="V95" s="27" t="b">
        <f>ISNUMBER(SEARCH(",",F95))</f>
        <v>0</v>
      </c>
    </row>
    <row r="96" spans="1:22" ht="45" x14ac:dyDescent="0.25">
      <c r="A96" s="27" t="str">
        <f>IF(ISBLANK(N96)=TRUE,"Pending","Done")</f>
        <v>Done</v>
      </c>
      <c r="B96" s="27" t="s">
        <v>24</v>
      </c>
      <c r="C96" s="27">
        <v>66</v>
      </c>
      <c r="D96" s="27" t="str">
        <f>SUBSTITUTE(TRIM(RIGHT(SUBSTITUTE(IF(RIGHT(B96,1)="/",LEFT(B96,LEN(B96)-1),B96),"/",REPT(" ",LEN(B96))),LEN(B96))),"-"," ")</f>
        <v>hogtied charlotte cross 2</v>
      </c>
      <c r="E96" s="27" t="s">
        <v>849</v>
      </c>
      <c r="F96" s="27" t="s">
        <v>238</v>
      </c>
      <c r="G96" s="27" t="s">
        <v>70</v>
      </c>
      <c r="H96" s="27" t="s">
        <v>2273</v>
      </c>
      <c r="I96" s="27" t="s">
        <v>2272</v>
      </c>
      <c r="J96" s="27" t="s">
        <v>1750</v>
      </c>
      <c r="K96" s="27" t="s">
        <v>1750</v>
      </c>
      <c r="L96" s="27" t="s">
        <v>557</v>
      </c>
      <c r="M96" s="27" t="s">
        <v>372</v>
      </c>
      <c r="N96" s="27" t="s">
        <v>65</v>
      </c>
      <c r="O96" s="27">
        <v>6</v>
      </c>
      <c r="P96" s="27" t="s">
        <v>559</v>
      </c>
      <c r="Q96" s="27" t="str" cm="1">
        <f t="array" ref="Q96">_xlfn.REGEXEXTRACT(B96,"(?&lt;=//)[^/]+")</f>
        <v>heavyfetish.com</v>
      </c>
      <c r="R96" s="27" t="s">
        <v>685</v>
      </c>
      <c r="S96" s="27" t="s">
        <v>1750</v>
      </c>
      <c r="T96" s="27" t="str" cm="1">
        <f t="array" ref="T96">IF(S96&lt;&gt;"NotApplicable",_xlfn.REGEXEXTRACT(S96,"\d+(?=p)"),"NotApplicable")</f>
        <v>NotApplicable</v>
      </c>
      <c r="U96" s="27" t="s">
        <v>1750</v>
      </c>
      <c r="V96" s="27" t="b">
        <f>ISNUMBER(SEARCH(",",F96))</f>
        <v>0</v>
      </c>
    </row>
    <row r="97" spans="1:22" ht="30" x14ac:dyDescent="0.25">
      <c r="A97" s="27" t="str">
        <f>IF(ISBLANK(N97)=TRUE,"Pending","Done")</f>
        <v>Done</v>
      </c>
      <c r="B97" s="27" t="s">
        <v>116</v>
      </c>
      <c r="C97" s="27">
        <v>45</v>
      </c>
      <c r="D97" s="27" t="str">
        <f>SUBSTITUTE(TRIM(RIGHT(SUBSTITUTE(IF(RIGHT(B97,1)="/",LEFT(B97,LEN(B97)-1),B97),"/",REPT(" ",LEN(B97))),LEN(B97))),"-"," ")</f>
        <v>109717 no_mercy_under_heavy_submission.html</v>
      </c>
      <c r="E97" s="27" t="s">
        <v>842</v>
      </c>
      <c r="F97" s="27" t="s">
        <v>145</v>
      </c>
      <c r="G97" s="27" t="s">
        <v>70</v>
      </c>
      <c r="H97" s="27" t="s">
        <v>2306</v>
      </c>
      <c r="I97" s="27" t="s">
        <v>2305</v>
      </c>
      <c r="J97" s="27" t="s">
        <v>1750</v>
      </c>
      <c r="K97" s="27" t="s">
        <v>1750</v>
      </c>
      <c r="L97" s="27" t="s">
        <v>563</v>
      </c>
      <c r="M97" s="27" t="s">
        <v>378</v>
      </c>
      <c r="N97" s="27" t="s">
        <v>65</v>
      </c>
      <c r="O97" s="27">
        <v>6</v>
      </c>
      <c r="P97" s="27" t="s">
        <v>556</v>
      </c>
      <c r="Q97" s="27" t="str" cm="1">
        <f t="array" ref="Q97">_xlfn.REGEXEXTRACT(B97,"(?&lt;=//)[^/]+")</f>
        <v>m.hqporner.com</v>
      </c>
      <c r="R97" s="27" t="s">
        <v>685</v>
      </c>
      <c r="S97" s="27" t="s">
        <v>1750</v>
      </c>
      <c r="T97" s="27" t="str" cm="1">
        <f t="array" ref="T97">IF(S97&lt;&gt;"NotApplicable",_xlfn.REGEXEXTRACT(S97,"\d+(?=p)"),"NotApplicable")</f>
        <v>NotApplicable</v>
      </c>
      <c r="U97" s="27" t="s">
        <v>1750</v>
      </c>
      <c r="V97" s="27" t="b">
        <f>ISNUMBER(SEARCH(",",F97))</f>
        <v>0</v>
      </c>
    </row>
    <row r="98" spans="1:22" ht="45" x14ac:dyDescent="0.25">
      <c r="A98" s="27" t="str">
        <f>IF(ISBLANK(N98)=TRUE,"Pending","Done")</f>
        <v>Done</v>
      </c>
      <c r="B98" s="27" t="s">
        <v>2050</v>
      </c>
      <c r="C98" s="27">
        <v>83</v>
      </c>
      <c r="D98" s="27" t="str">
        <f>SUBSTITUTE(TRIM(RIGHT(SUBSTITUTE(IF(RIGHT(B98,1)="/",LEFT(B98,LEN(B98)-1),B98),"/",REPT(" ",LEN(B98))),LEN(B98))),"-"," ")</f>
        <v>super flexible sensi pearl gets tied up and fucked</v>
      </c>
      <c r="E98" s="27" t="s">
        <v>844</v>
      </c>
      <c r="F98" s="27" t="s">
        <v>189</v>
      </c>
      <c r="G98" s="27" t="s">
        <v>70</v>
      </c>
      <c r="H98" s="27" t="s">
        <v>2271</v>
      </c>
      <c r="I98" s="27" t="s">
        <v>2271</v>
      </c>
      <c r="J98" s="27" t="s">
        <v>1750</v>
      </c>
      <c r="K98" s="27" t="s">
        <v>1750</v>
      </c>
      <c r="L98" s="27" t="s">
        <v>2129</v>
      </c>
      <c r="M98" s="27" t="s">
        <v>592</v>
      </c>
      <c r="N98" s="27" t="s">
        <v>65</v>
      </c>
      <c r="O98" s="27">
        <v>6</v>
      </c>
      <c r="P98" s="27" t="s">
        <v>105</v>
      </c>
      <c r="Q98" s="27" t="str" cm="1">
        <f t="array" ref="Q98">_xlfn.REGEXEXTRACT(B98,"(?&lt;=//)[^/]+")</f>
        <v>bdsmstreak.com</v>
      </c>
      <c r="R98" s="27" t="s">
        <v>685</v>
      </c>
      <c r="S98" s="27" t="s">
        <v>1750</v>
      </c>
      <c r="T98" s="27" t="str" cm="1">
        <f t="array" ref="T98">IF(S98&lt;&gt;"NotApplicable",_xlfn.REGEXEXTRACT(S98,"\d+(?=p)"),"NotApplicable")</f>
        <v>NotApplicable</v>
      </c>
      <c r="U98" s="27" t="s">
        <v>1750</v>
      </c>
      <c r="V98" s="27" t="b">
        <f>ISNUMBER(SEARCH(",",F98))</f>
        <v>0</v>
      </c>
    </row>
    <row r="99" spans="1:22" ht="45" x14ac:dyDescent="0.25">
      <c r="A99" s="27" t="str">
        <f>IF(ISBLANK(N99)=TRUE,"Pending","Done")</f>
        <v>Done</v>
      </c>
      <c r="B99" s="27" t="s">
        <v>2342</v>
      </c>
      <c r="C99" s="27">
        <v>10</v>
      </c>
      <c r="D99" s="27" t="str">
        <f>SUBSTITUTE(TRIM(RIGHT(SUBSTITUTE(IF(RIGHT(B99,1)="/",LEFT(B99,LEN(B99)-1),B99),"/",REPT(" ",LEN(B99))),LEN(B99))),"-"," ")</f>
        <v>bdsm_hardcore_anal_fuck_skinny_big_tits_teen_loud_orgasm_while_ass_fucked_rough_ _whornyfilms.com</v>
      </c>
      <c r="E99" s="27" t="s">
        <v>1747</v>
      </c>
      <c r="F99" s="27" t="s">
        <v>2340</v>
      </c>
      <c r="G99" s="27" t="s">
        <v>70</v>
      </c>
      <c r="H99" s="27" t="s">
        <v>2341</v>
      </c>
      <c r="I99" s="27" t="s">
        <v>2339</v>
      </c>
      <c r="J99" s="27" t="s">
        <v>1750</v>
      </c>
      <c r="K99" s="27" t="s">
        <v>1750</v>
      </c>
      <c r="L99" s="27" t="s">
        <v>466</v>
      </c>
      <c r="M99" s="27" t="s">
        <v>422</v>
      </c>
      <c r="N99" s="27" t="s">
        <v>65</v>
      </c>
      <c r="O99" s="27">
        <v>6</v>
      </c>
      <c r="P99" s="27" t="s">
        <v>472</v>
      </c>
      <c r="Q99" s="27" t="str" cm="1">
        <f t="array" ref="Q99">_xlfn.REGEXEXTRACT(B99,"(?&lt;=//)[^/]+")</f>
        <v>www.xvideos2.com</v>
      </c>
      <c r="R99" s="27" t="s">
        <v>685</v>
      </c>
      <c r="S99" s="27" t="s">
        <v>1750</v>
      </c>
      <c r="T99" s="27" t="str" cm="1">
        <f t="array" ref="T99">IF(S99&lt;&gt;"NotApplicable",_xlfn.REGEXEXTRACT(S99,"\d+(?=p)"),"NotApplicable")</f>
        <v>NotApplicable</v>
      </c>
      <c r="U99" s="27" t="s">
        <v>1750</v>
      </c>
      <c r="V99" s="27" t="b">
        <f>ISNUMBER(SEARCH(",",F99))</f>
        <v>0</v>
      </c>
    </row>
    <row r="100" spans="1:22" ht="30" x14ac:dyDescent="0.25">
      <c r="A100" s="27" t="str">
        <f>IF(ISBLANK(N100)=TRUE,"Pending","Done")</f>
        <v>Done</v>
      </c>
      <c r="B100" s="27" t="s">
        <v>775</v>
      </c>
      <c r="C100" s="27">
        <v>12</v>
      </c>
      <c r="D100" s="27" t="str">
        <f>SUBSTITUTE(TRIM(RIGHT(SUBSTITUTE(IF(RIGHT(B100,1)="/",LEFT(B100,LEN(B100)-1),B100),"/",REPT(" ",LEN(B100))),LEN(B100))),"-"," ")</f>
        <v>bdsm t0rture chalr</v>
      </c>
      <c r="E100" s="27" t="s">
        <v>1747</v>
      </c>
      <c r="F100" s="27" t="s">
        <v>773</v>
      </c>
      <c r="G100" s="27" t="s">
        <v>70</v>
      </c>
      <c r="H100" s="27" t="s">
        <v>1750</v>
      </c>
      <c r="I100" s="27" t="s">
        <v>2338</v>
      </c>
      <c r="J100" s="27" t="s">
        <v>1750</v>
      </c>
      <c r="K100" s="27" t="s">
        <v>1750</v>
      </c>
      <c r="L100" s="27" t="s">
        <v>782</v>
      </c>
      <c r="M100" s="27" t="s">
        <v>701</v>
      </c>
      <c r="N100" s="27" t="s">
        <v>65</v>
      </c>
      <c r="O100" s="27">
        <v>6</v>
      </c>
      <c r="P100" s="27" t="s">
        <v>783</v>
      </c>
      <c r="Q100" s="27" t="str" cm="1">
        <f t="array" ref="Q100">_xlfn.REGEXEXTRACT(B100,"(?&lt;=//)[^/]+")</f>
        <v>www.eporner.com</v>
      </c>
      <c r="R100" s="27" t="s">
        <v>685</v>
      </c>
      <c r="S100" s="27" t="s">
        <v>1750</v>
      </c>
      <c r="T100" s="27" t="str" cm="1">
        <f t="array" ref="T100">IF(S100&lt;&gt;"NotApplicable",_xlfn.REGEXEXTRACT(S100,"\d+(?=p)"),"NotApplicable")</f>
        <v>NotApplicable</v>
      </c>
      <c r="U100" s="27" t="s">
        <v>1750</v>
      </c>
      <c r="V100" s="27" t="b">
        <f>ISNUMBER(SEARCH(",",F100))</f>
        <v>0</v>
      </c>
    </row>
    <row r="101" spans="1:22" ht="45" x14ac:dyDescent="0.25">
      <c r="A101" s="27" t="str">
        <f>IF(ISBLANK(N101)=TRUE,"Pending","Done")</f>
        <v>Done</v>
      </c>
      <c r="B101" s="27" t="s">
        <v>772</v>
      </c>
      <c r="C101" s="27">
        <v>3</v>
      </c>
      <c r="D101" s="27" t="str">
        <f>SUBSTITUTE(TRIM(RIGHT(SUBSTITUTE(IF(RIGHT(B101,1)="/",LEFT(B101,LEN(B101)-1),B101),"/",REPT(" ",LEN(B101))),LEN(B101))),"-"," ")</f>
        <v>view_video.php?viewkey=679515d7ca089</v>
      </c>
      <c r="E101" s="27" t="s">
        <v>1747</v>
      </c>
      <c r="F101" s="27" t="s">
        <v>773</v>
      </c>
      <c r="G101" s="27" t="s">
        <v>70</v>
      </c>
      <c r="H101" s="27" t="s">
        <v>1750</v>
      </c>
      <c r="I101" s="27" t="s">
        <v>2343</v>
      </c>
      <c r="J101" s="27" t="s">
        <v>1750</v>
      </c>
      <c r="K101" s="27" t="s">
        <v>1750</v>
      </c>
      <c r="L101" s="27" t="s">
        <v>780</v>
      </c>
      <c r="M101" s="27" t="s">
        <v>701</v>
      </c>
      <c r="N101" s="27" t="s">
        <v>65</v>
      </c>
      <c r="O101" s="27">
        <v>6</v>
      </c>
      <c r="P101" s="27" t="s">
        <v>781</v>
      </c>
      <c r="Q101" s="27" t="str" cm="1">
        <f t="array" ref="Q101">_xlfn.REGEXEXTRACT(B101,"(?&lt;=//)[^/]+")</f>
        <v>www.pornhub.com</v>
      </c>
      <c r="R101" s="27" t="s">
        <v>685</v>
      </c>
      <c r="S101" s="27" t="s">
        <v>1750</v>
      </c>
      <c r="T101" s="27" t="str" cm="1">
        <f t="array" ref="T101">IF(S101&lt;&gt;"NotApplicable",_xlfn.REGEXEXTRACT(S101,"\d+(?=p)"),"NotApplicable")</f>
        <v>NotApplicable</v>
      </c>
      <c r="U101" s="27" t="s">
        <v>1750</v>
      </c>
      <c r="V101" s="27" t="b">
        <f>ISNUMBER(SEARCH(",",F101))</f>
        <v>0</v>
      </c>
    </row>
    <row r="102" spans="1:22" ht="30" x14ac:dyDescent="0.25">
      <c r="A102" s="27" t="str">
        <f>IF(ISBLANK(N102)=TRUE,"Pending","Done")</f>
        <v>Done</v>
      </c>
      <c r="B102" s="27" t="s">
        <v>246</v>
      </c>
      <c r="C102" s="27">
        <v>20</v>
      </c>
      <c r="D102" s="27" t="str">
        <f>SUBSTITUTE(TRIM(RIGHT(SUBSTITUTE(IF(RIGHT(B102,1)="/",LEFT(B102,LEN(B102)-1),B102),"/",REPT(" ",LEN(B102))),LEN(B102))),"-"," ")</f>
        <v>76277 whipping 6728465 3276 44362</v>
      </c>
      <c r="E102" s="27" t="s">
        <v>1747</v>
      </c>
      <c r="F102" s="27" t="s">
        <v>1749</v>
      </c>
      <c r="G102" s="27" t="s">
        <v>70</v>
      </c>
      <c r="H102" s="27" t="s">
        <v>1750</v>
      </c>
      <c r="I102" s="27" t="s">
        <v>2337</v>
      </c>
      <c r="J102" s="27" t="s">
        <v>1750</v>
      </c>
      <c r="K102" s="27" t="s">
        <v>1750</v>
      </c>
      <c r="L102" s="27" t="s">
        <v>573</v>
      </c>
      <c r="M102" s="27" t="s">
        <v>632</v>
      </c>
      <c r="N102" s="27" t="s">
        <v>249</v>
      </c>
      <c r="O102" s="27">
        <v>6</v>
      </c>
      <c r="P102" s="27" t="s">
        <v>576</v>
      </c>
      <c r="Q102" s="27" t="str" cm="1">
        <f t="array" ref="Q102">_xlfn.REGEXEXTRACT(B102,"(?&lt;=//)[^/]+")</f>
        <v>punishworld.com</v>
      </c>
      <c r="R102" s="27" t="s">
        <v>685</v>
      </c>
      <c r="S102" s="27" t="s">
        <v>1750</v>
      </c>
      <c r="T102" s="27" t="str" cm="1">
        <f t="array" ref="T102">IF(S102&lt;&gt;"NotApplicable",_xlfn.REGEXEXTRACT(S102,"\d+(?=p)"),"NotApplicable")</f>
        <v>NotApplicable</v>
      </c>
      <c r="U102" s="27" t="s">
        <v>1750</v>
      </c>
      <c r="V102" s="27" t="b">
        <f>ISNUMBER(SEARCH(",",F102))</f>
        <v>0</v>
      </c>
    </row>
    <row r="103" spans="1:22" ht="30" x14ac:dyDescent="0.25">
      <c r="A103" s="27" t="str">
        <f>IF(ISBLANK(N103)=TRUE,"Pending","Done")</f>
        <v>Done</v>
      </c>
      <c r="B103" s="27" t="s">
        <v>1516</v>
      </c>
      <c r="C103" s="27">
        <v>8</v>
      </c>
      <c r="D103" s="27" t="str">
        <f>SUBSTITUTE(TRIM(RIGHT(SUBSTITUTE(IF(RIGHT(B103,1)="/",LEFT(B103,LEN(B103)-1),B103),"/",REPT(" ",LEN(B103))),LEN(B103))),"-"," ")</f>
        <v>kenzie reeves a fine piece of bound meat part 3</v>
      </c>
      <c r="E103" s="27" t="s">
        <v>146</v>
      </c>
      <c r="F103" s="27" t="s">
        <v>1511</v>
      </c>
      <c r="G103" s="27" t="s">
        <v>70</v>
      </c>
      <c r="H103" s="27" t="s">
        <v>1513</v>
      </c>
      <c r="I103" s="27" t="s">
        <v>1521</v>
      </c>
      <c r="J103" s="27" t="s">
        <v>1750</v>
      </c>
      <c r="K103" s="27" t="s">
        <v>1750</v>
      </c>
      <c r="L103" s="27" t="s">
        <v>1531</v>
      </c>
      <c r="M103" s="27" t="s">
        <v>1528</v>
      </c>
      <c r="N103" s="27" t="s">
        <v>65</v>
      </c>
      <c r="O103" s="27">
        <v>5</v>
      </c>
      <c r="P103" s="27" t="s">
        <v>1529</v>
      </c>
      <c r="Q103" s="27" t="str" cm="1">
        <f t="array" ref="Q103">_xlfn.REGEXEXTRACT(B103,"(?&lt;=//)[^/]+")</f>
        <v>www.porntrex.com</v>
      </c>
      <c r="R103" s="27" t="s">
        <v>684</v>
      </c>
      <c r="S103" s="27" t="s">
        <v>1512</v>
      </c>
      <c r="T103" s="27" t="str" cm="1">
        <f t="array" ref="T103">IF(S103&lt;&gt;"NotApplicable",_xlfn.REGEXEXTRACT(S103,"\d+(?=p)"),"NotApplicable")</f>
        <v>1080</v>
      </c>
      <c r="U103" s="27" t="s">
        <v>1518</v>
      </c>
      <c r="V103" s="27" t="b">
        <f>ISNUMBER(SEARCH(",",F103))</f>
        <v>0</v>
      </c>
    </row>
    <row r="104" spans="1:22" ht="30" x14ac:dyDescent="0.25">
      <c r="A104" s="27" t="str">
        <f>IF(ISBLANK(N104)=TRUE,"Pending","Done")</f>
        <v>Done</v>
      </c>
      <c r="B104" s="27" t="s">
        <v>1540</v>
      </c>
      <c r="C104" s="27">
        <v>65</v>
      </c>
      <c r="D104" s="27" t="str">
        <f>SUBSTITUTE(TRIM(RIGHT(SUBSTITUTE(IF(RIGHT(B104,1)="/",LEFT(B104,LEN(B104)-1),B104),"/",REPT(" ",LEN(B104))),LEN(B104))),"-"," ")</f>
        <v>hogtied beretta james challenged with wanton cruelty</v>
      </c>
      <c r="E104" s="27" t="s">
        <v>849</v>
      </c>
      <c r="F104" s="27" t="s">
        <v>230</v>
      </c>
      <c r="G104" s="27" t="s">
        <v>71</v>
      </c>
      <c r="H104" s="27" t="s">
        <v>2352</v>
      </c>
      <c r="I104" s="27" t="s">
        <v>2351</v>
      </c>
      <c r="J104" s="27" t="s">
        <v>1750</v>
      </c>
      <c r="K104" s="27" t="s">
        <v>1750</v>
      </c>
      <c r="L104" s="27" t="s">
        <v>502</v>
      </c>
      <c r="M104" s="27" t="s">
        <v>387</v>
      </c>
      <c r="N104" s="27" t="s">
        <v>65</v>
      </c>
      <c r="O104" s="27">
        <v>5</v>
      </c>
      <c r="P104" s="27" t="s">
        <v>470</v>
      </c>
      <c r="Q104" s="27" t="str" cm="1">
        <f t="array" ref="Q104">_xlfn.REGEXEXTRACT(B104,"(?&lt;=//)[^/]+")</f>
        <v>hcbdsm.com</v>
      </c>
      <c r="R104" s="27" t="s">
        <v>685</v>
      </c>
      <c r="S104" s="27" t="s">
        <v>1750</v>
      </c>
      <c r="T104" s="27" t="str" cm="1">
        <f t="array" ref="T104">IF(S104&lt;&gt;"NotApplicable",_xlfn.REGEXEXTRACT(S104,"\d+(?=p)"),"NotApplicable")</f>
        <v>NotApplicable</v>
      </c>
      <c r="U104" s="27" t="s">
        <v>1750</v>
      </c>
      <c r="V104" s="27" t="b">
        <f>ISNUMBER(SEARCH(",",F104))</f>
        <v>0</v>
      </c>
    </row>
    <row r="105" spans="1:22" ht="30" x14ac:dyDescent="0.25">
      <c r="A105" s="27" t="str">
        <f>IF(ISBLANK(N105)=TRUE,"Pending","Done")</f>
        <v>Done</v>
      </c>
      <c r="B105" s="27" t="s">
        <v>2357</v>
      </c>
      <c r="C105" s="27">
        <v>60</v>
      </c>
      <c r="D105" s="27" t="str">
        <f>SUBSTITUTE(TRIM(RIGHT(SUBSTITUTE(IF(RIGHT(B105,1)="/",LEFT(B105,LEN(B105)-1),B105),"/",REPT(" ",LEN(B105))),LEN(B105))),"-"," ")</f>
        <v>jade indica gets spanked and shocked in hot lesbian bdsm scene</v>
      </c>
      <c r="E105" s="27" t="s">
        <v>848</v>
      </c>
      <c r="F105" s="27" t="s">
        <v>228</v>
      </c>
      <c r="G105" s="27" t="s">
        <v>71</v>
      </c>
      <c r="H105" s="27" t="s">
        <v>2356</v>
      </c>
      <c r="I105" s="27" t="s">
        <v>2358</v>
      </c>
      <c r="J105" s="27" t="s">
        <v>1750</v>
      </c>
      <c r="K105" s="27" t="s">
        <v>1750</v>
      </c>
      <c r="L105" s="27" t="s">
        <v>501</v>
      </c>
      <c r="M105" s="27" t="s">
        <v>389</v>
      </c>
      <c r="N105" s="27" t="s">
        <v>65</v>
      </c>
      <c r="O105" s="27">
        <v>5</v>
      </c>
      <c r="P105" s="27" t="s">
        <v>518</v>
      </c>
      <c r="Q105" s="27" t="str" cm="1">
        <f t="array" ref="Q105">_xlfn.REGEXEXTRACT(B105,"(?&lt;=//)[^/]+")</f>
        <v>bdsmstreak.com</v>
      </c>
      <c r="R105" s="27" t="s">
        <v>685</v>
      </c>
      <c r="S105" s="27" t="s">
        <v>1750</v>
      </c>
      <c r="T105" s="27" t="str" cm="1">
        <f t="array" ref="T105">IF(S105&lt;&gt;"NotApplicable",_xlfn.REGEXEXTRACT(S105,"\d+(?=p)"),"NotApplicable")</f>
        <v>NotApplicable</v>
      </c>
      <c r="U105" s="27" t="s">
        <v>1750</v>
      </c>
      <c r="V105" s="27" t="b">
        <f>ISNUMBER(SEARCH(",",F105))</f>
        <v>0</v>
      </c>
    </row>
    <row r="106" spans="1:22" ht="30" x14ac:dyDescent="0.25">
      <c r="A106" s="27" t="str">
        <f>IF(ISBLANK(N106)=TRUE,"Pending","Done")</f>
        <v>Done</v>
      </c>
      <c r="B106" s="27" t="s">
        <v>31</v>
      </c>
      <c r="C106" s="27">
        <v>55</v>
      </c>
      <c r="D106" s="27" t="str">
        <f>SUBSTITUTE(TRIM(RIGHT(SUBSTITUTE(IF(RIGHT(B106,1)="/",LEFT(B106,LEN(B106)-1),B106),"/",REPT(" ",LEN(B106))),LEN(B106))),"-"," ")</f>
        <v>lesbian+mistress+bondage</v>
      </c>
      <c r="E106" s="27" t="s">
        <v>1747</v>
      </c>
      <c r="F106" s="27" t="s">
        <v>1749</v>
      </c>
      <c r="G106" s="27" t="s">
        <v>71</v>
      </c>
      <c r="H106" s="27" t="s">
        <v>1750</v>
      </c>
      <c r="I106" s="27" t="s">
        <v>2366</v>
      </c>
      <c r="J106" s="27" t="s">
        <v>1750</v>
      </c>
      <c r="K106" s="27" t="s">
        <v>1750</v>
      </c>
      <c r="L106" s="27" t="s">
        <v>462</v>
      </c>
      <c r="M106" s="27" t="s">
        <v>390</v>
      </c>
      <c r="N106" s="27" t="s">
        <v>65</v>
      </c>
      <c r="O106" s="27">
        <v>5</v>
      </c>
      <c r="P106" s="27" t="s">
        <v>218</v>
      </c>
      <c r="Q106" s="27" t="str" cm="1">
        <f t="array" ref="Q106">_xlfn.REGEXEXTRACT(B106,"(?&lt;=//)[^/]+")</f>
        <v>spankbang.com</v>
      </c>
      <c r="R106" s="27" t="s">
        <v>685</v>
      </c>
      <c r="S106" s="27" t="s">
        <v>1750</v>
      </c>
      <c r="T106" s="27" t="str" cm="1">
        <f t="array" ref="T106">IF(S106&lt;&gt;"NotApplicable",_xlfn.REGEXEXTRACT(S106,"\d+(?=p)"),"NotApplicable")</f>
        <v>NotApplicable</v>
      </c>
      <c r="U106" s="27" t="s">
        <v>1750</v>
      </c>
      <c r="V106" s="27" t="b">
        <f>ISNUMBER(SEARCH(",",F106))</f>
        <v>0</v>
      </c>
    </row>
    <row r="107" spans="1:22" ht="30" x14ac:dyDescent="0.25">
      <c r="A107" s="27" t="str">
        <f>IF(ISBLANK(N107)=TRUE,"Pending","Done")</f>
        <v>Done</v>
      </c>
      <c r="B107" s="27" t="s">
        <v>2401</v>
      </c>
      <c r="C107" s="27">
        <v>35</v>
      </c>
      <c r="D107" s="27" t="str">
        <f>SUBSTITUTE(TRIM(RIGHT(SUBSTITUTE(IF(RIGHT(B107,1)="/",LEFT(B107,LEN(B107)-1),B107),"/",REPT(" ",LEN(B107))),LEN(B107))),"-"," ")</f>
        <v>riley reid and ryan reid im gonna fuck you up hotandmean</v>
      </c>
      <c r="E107" s="27" t="s">
        <v>171</v>
      </c>
      <c r="F107" s="27" t="s">
        <v>328</v>
      </c>
      <c r="G107" s="27" t="s">
        <v>71</v>
      </c>
      <c r="H107" s="27" t="s">
        <v>2400</v>
      </c>
      <c r="I107" s="27" t="s">
        <v>2402</v>
      </c>
      <c r="J107" s="27" t="s">
        <v>1750</v>
      </c>
      <c r="K107" s="27" t="s">
        <v>1750</v>
      </c>
      <c r="L107" s="27" t="s">
        <v>1714</v>
      </c>
      <c r="M107" s="27" t="s">
        <v>601</v>
      </c>
      <c r="N107" s="27" t="s">
        <v>65</v>
      </c>
      <c r="O107" s="27">
        <v>5</v>
      </c>
      <c r="P107" s="27" t="s">
        <v>716</v>
      </c>
      <c r="Q107" s="27" t="str" cm="1">
        <f t="array" ref="Q107">_xlfn.REGEXEXTRACT(B107,"(?&lt;=//)[^/]+")</f>
        <v>www.femdomvc.com</v>
      </c>
      <c r="R107" s="27" t="s">
        <v>685</v>
      </c>
      <c r="S107" s="27" t="s">
        <v>1750</v>
      </c>
      <c r="T107" s="27" t="str" cm="1">
        <f t="array" ref="T107">IF(S107&lt;&gt;"NotApplicable",_xlfn.REGEXEXTRACT(S107,"\d+(?=p)"),"NotApplicable")</f>
        <v>NotApplicable</v>
      </c>
      <c r="U107" s="27" t="s">
        <v>1750</v>
      </c>
      <c r="V107" s="27" t="b">
        <f>ISNUMBER(SEARCH(",",F107))</f>
        <v>1</v>
      </c>
    </row>
    <row r="108" spans="1:22" ht="45" x14ac:dyDescent="0.25">
      <c r="A108" s="27" t="str">
        <f>IF(ISBLANK(N108)=TRUE,"Pending","Done")</f>
        <v>Done</v>
      </c>
      <c r="B108" s="27" t="s">
        <v>29</v>
      </c>
      <c r="C108" s="27">
        <v>50</v>
      </c>
      <c r="D108" s="27" t="str">
        <f>SUBSTITUTE(TRIM(RIGHT(SUBSTITUTE(IF(RIGHT(B108,1)="/",LEFT(B108,LEN(B108)-1),B108),"/",REPT(" ",LEN(B108))),LEN(B108))),"-"," ")</f>
        <v>sensi pearl on wiredpussy 4323.html</v>
      </c>
      <c r="E108" s="27" t="s">
        <v>848</v>
      </c>
      <c r="F108" s="27" t="s">
        <v>334</v>
      </c>
      <c r="G108" s="27" t="s">
        <v>71</v>
      </c>
      <c r="H108" s="27" t="s">
        <v>2375</v>
      </c>
      <c r="I108" s="27" t="s">
        <v>2374</v>
      </c>
      <c r="J108" s="27" t="s">
        <v>1750</v>
      </c>
      <c r="K108" s="27" t="s">
        <v>1750</v>
      </c>
      <c r="L108" s="27" t="s">
        <v>2376</v>
      </c>
      <c r="M108" s="27" t="s">
        <v>619</v>
      </c>
      <c r="N108" s="27" t="s">
        <v>65</v>
      </c>
      <c r="O108" s="27">
        <v>5</v>
      </c>
      <c r="P108" s="27" t="s">
        <v>209</v>
      </c>
      <c r="Q108" s="27" t="str" cm="1">
        <f t="array" ref="Q108">_xlfn.REGEXEXTRACT(B108,"(?&lt;=//)[^/]+")</f>
        <v>hcbdsm.com</v>
      </c>
      <c r="R108" s="27" t="s">
        <v>685</v>
      </c>
      <c r="S108" s="27" t="s">
        <v>1750</v>
      </c>
      <c r="T108" s="27" t="str" cm="1">
        <f t="array" ref="T108">IF(S108&lt;&gt;"NotApplicable",_xlfn.REGEXEXTRACT(S108,"\d+(?=p)"),"NotApplicable")</f>
        <v>NotApplicable</v>
      </c>
      <c r="U108" s="27" t="s">
        <v>1750</v>
      </c>
      <c r="V108" s="27" t="b">
        <f>ISNUMBER(SEARCH(",",F108))</f>
        <v>1</v>
      </c>
    </row>
    <row r="109" spans="1:22" ht="30" x14ac:dyDescent="0.25">
      <c r="A109" s="27" t="str">
        <f>IF(ISBLANK(N109)=TRUE,"Pending","Done")</f>
        <v>Done</v>
      </c>
      <c r="B109" s="27" t="s">
        <v>670</v>
      </c>
      <c r="C109" s="27">
        <v>29</v>
      </c>
      <c r="D109" s="27" t="str">
        <f>SUBSTITUTE(TRIM(RIGHT(SUBSTITUTE(IF(RIGHT(B109,1)="/",LEFT(B109,LEN(B109)-1),B109),"/",REPT(" ",LEN(B109))),LEN(B109))),"-"," ")</f>
        <v>shameless dykes lesdom breathtaking xxx scene</v>
      </c>
      <c r="E109" s="27" t="s">
        <v>93</v>
      </c>
      <c r="F109" s="27" t="s">
        <v>2408</v>
      </c>
      <c r="G109" s="27" t="s">
        <v>71</v>
      </c>
      <c r="H109" s="27" t="s">
        <v>2406</v>
      </c>
      <c r="I109" s="27" t="s">
        <v>2407</v>
      </c>
      <c r="J109" s="27" t="s">
        <v>1750</v>
      </c>
      <c r="K109" s="27" t="s">
        <v>1750</v>
      </c>
      <c r="L109" s="27" t="s">
        <v>680</v>
      </c>
      <c r="M109" s="27" t="s">
        <v>394</v>
      </c>
      <c r="N109" s="27" t="s">
        <v>65</v>
      </c>
      <c r="O109" s="27">
        <v>5</v>
      </c>
      <c r="P109" s="27" t="s">
        <v>679</v>
      </c>
      <c r="Q109" s="27" t="str" cm="1">
        <f t="array" ref="Q109">_xlfn.REGEXEXTRACT(B109,"(?&lt;=//)[^/]+")</f>
        <v>www.xozilla.xxx</v>
      </c>
      <c r="R109" s="27" t="s">
        <v>685</v>
      </c>
      <c r="S109" s="27" t="s">
        <v>1750</v>
      </c>
      <c r="T109" s="27" t="str" cm="1">
        <f t="array" ref="T109">IF(S109&lt;&gt;"NotApplicable",_xlfn.REGEXEXTRACT(S109,"\d+(?=p)"),"NotApplicable")</f>
        <v>NotApplicable</v>
      </c>
      <c r="U109" s="27" t="s">
        <v>1750</v>
      </c>
      <c r="V109" s="27" t="b">
        <f>ISNUMBER(SEARCH(",",F109))</f>
        <v>1</v>
      </c>
    </row>
    <row r="110" spans="1:22" ht="30" x14ac:dyDescent="0.25">
      <c r="A110" s="27" t="str">
        <f>IF(ISBLANK(N110)=TRUE,"Pending","Done")</f>
        <v>Done</v>
      </c>
      <c r="B110" s="27" t="s">
        <v>1719</v>
      </c>
      <c r="C110" s="27">
        <v>64</v>
      </c>
      <c r="D110" s="27" t="str">
        <f>SUBSTITUTE(TRIM(RIGHT(SUBSTITUTE(IF(RIGHT(B110,1)="/",LEFT(B110,LEN(B110)-1),B110),"/",REPT(" ",LEN(B110))),LEN(B110))),"-"," ")</f>
        <v>19 year old s fierce introduced to the bitches</v>
      </c>
      <c r="E110" s="27" t="s">
        <v>852</v>
      </c>
      <c r="F110" s="27" t="s">
        <v>428</v>
      </c>
      <c r="G110" s="27" t="s">
        <v>81</v>
      </c>
      <c r="H110" s="27" t="s">
        <v>2353</v>
      </c>
      <c r="I110" s="27" t="s">
        <v>2353</v>
      </c>
      <c r="J110" s="27" t="s">
        <v>1750</v>
      </c>
      <c r="K110" s="27" t="s">
        <v>1750</v>
      </c>
      <c r="L110" s="27" t="s">
        <v>1720</v>
      </c>
      <c r="M110" s="27" t="s">
        <v>626</v>
      </c>
      <c r="N110" s="27" t="s">
        <v>65</v>
      </c>
      <c r="O110" s="27">
        <v>5</v>
      </c>
      <c r="P110" s="27" t="s">
        <v>456</v>
      </c>
      <c r="Q110" s="27" t="str" cm="1">
        <f t="array" ref="Q110">_xlfn.REGEXEXTRACT(B110,"(?&lt;=//)[^/]+")</f>
        <v>hcbdsm.com</v>
      </c>
      <c r="R110" s="27" t="s">
        <v>685</v>
      </c>
      <c r="S110" s="27" t="s">
        <v>1750</v>
      </c>
      <c r="T110" s="27" t="str" cm="1">
        <f t="array" ref="T110">IF(S110&lt;&gt;"NotApplicable",_xlfn.REGEXEXTRACT(S110,"\d+(?=p)"),"NotApplicable")</f>
        <v>NotApplicable</v>
      </c>
      <c r="U110" s="27" t="s">
        <v>1750</v>
      </c>
      <c r="V110" s="27" t="b">
        <f>ISNUMBER(SEARCH(",",F110))</f>
        <v>1</v>
      </c>
    </row>
    <row r="111" spans="1:22" ht="30" x14ac:dyDescent="0.25">
      <c r="A111" s="27" t="str">
        <f>IF(ISBLANK(N111)=TRUE,"Pending","Done")</f>
        <v>Done</v>
      </c>
      <c r="B111" s="27" t="s">
        <v>2371</v>
      </c>
      <c r="C111" s="27">
        <v>54</v>
      </c>
      <c r="D111" s="27" t="str">
        <f>SUBSTITUTE(TRIM(RIGHT(SUBSTITUTE(IF(RIGHT(B111,1)="/",LEFT(B111,LEN(B111)-1),B111),"/",REPT(" ",LEN(B111))),LEN(B111))),"-"," ")</f>
        <v>arabelles trashcan arabelle raphael destroys marcelo</v>
      </c>
      <c r="E111" s="27" t="s">
        <v>852</v>
      </c>
      <c r="F111" s="27" t="s">
        <v>305</v>
      </c>
      <c r="G111" s="27" t="s">
        <v>81</v>
      </c>
      <c r="H111" s="27" t="s">
        <v>2370</v>
      </c>
      <c r="I111" s="27" t="s">
        <v>2370</v>
      </c>
      <c r="J111" s="27" t="s">
        <v>1750</v>
      </c>
      <c r="K111" s="27" t="s">
        <v>1750</v>
      </c>
      <c r="L111" s="27" t="s">
        <v>475</v>
      </c>
      <c r="M111" s="27" t="s">
        <v>394</v>
      </c>
      <c r="N111" s="27" t="s">
        <v>65</v>
      </c>
      <c r="O111" s="27">
        <v>5</v>
      </c>
      <c r="P111" s="27" t="s">
        <v>506</v>
      </c>
      <c r="Q111" s="27" t="str" cm="1">
        <f t="array" ref="Q111">_xlfn.REGEXEXTRACT(B111,"(?&lt;=//)[^/]+")</f>
        <v>bdsmstreak.com</v>
      </c>
      <c r="R111" s="27" t="s">
        <v>685</v>
      </c>
      <c r="S111" s="27" t="s">
        <v>1750</v>
      </c>
      <c r="T111" s="27" t="str" cm="1">
        <f t="array" ref="T111">IF(S111&lt;&gt;"NotApplicable",_xlfn.REGEXEXTRACT(S111,"\d+(?=p)"),"NotApplicable")</f>
        <v>NotApplicable</v>
      </c>
      <c r="U111" s="27" t="s">
        <v>1750</v>
      </c>
      <c r="V111" s="27" t="b">
        <f>ISNUMBER(SEARCH(",",F111))</f>
        <v>0</v>
      </c>
    </row>
    <row r="112" spans="1:22" ht="30" x14ac:dyDescent="0.25">
      <c r="A112" s="27" t="str">
        <f>IF(ISBLANK(N112)=TRUE,"Pending","Done")</f>
        <v>Done</v>
      </c>
      <c r="B112" s="27" t="s">
        <v>262</v>
      </c>
      <c r="C112" s="27">
        <v>1</v>
      </c>
      <c r="D112" s="27" t="str">
        <f>SUBSTITUTE(TRIM(RIGHT(SUBSTITUTE(IF(RIGHT(B112,1)="/",LEFT(B112,LEN(B112)-1),B112),"/",REPT(" ",LEN(B112))),LEN(B112))),"-"," ")</f>
        <v>japanese mistress whipping training slave xhZCsMd</v>
      </c>
      <c r="E112" s="27" t="s">
        <v>1747</v>
      </c>
      <c r="F112" s="27" t="s">
        <v>1749</v>
      </c>
      <c r="G112" s="27" t="s">
        <v>81</v>
      </c>
      <c r="H112" s="27" t="s">
        <v>1750</v>
      </c>
      <c r="I112" s="27" t="s">
        <v>2419</v>
      </c>
      <c r="J112" s="27" t="s">
        <v>1750</v>
      </c>
      <c r="K112" s="27" t="s">
        <v>1750</v>
      </c>
      <c r="L112" s="27" t="s">
        <v>488</v>
      </c>
      <c r="M112" s="27" t="s">
        <v>595</v>
      </c>
      <c r="N112" s="27" t="s">
        <v>250</v>
      </c>
      <c r="O112" s="27">
        <v>5</v>
      </c>
      <c r="P112" s="27" t="s">
        <v>291</v>
      </c>
      <c r="Q112" s="27" t="str" cm="1">
        <f t="array" ref="Q112">_xlfn.REGEXEXTRACT(B112,"(?&lt;=//)[^/]+")</f>
        <v>xhamster44.desi</v>
      </c>
      <c r="R112" s="27" t="s">
        <v>685</v>
      </c>
      <c r="S112" s="27" t="s">
        <v>1750</v>
      </c>
      <c r="T112" s="27" t="str" cm="1">
        <f t="array" ref="T112">IF(S112&lt;&gt;"NotApplicable",_xlfn.REGEXEXTRACT(S112,"\d+(?=p)"),"NotApplicable")</f>
        <v>NotApplicable</v>
      </c>
      <c r="U112" s="27" t="s">
        <v>1750</v>
      </c>
      <c r="V112" s="27" t="b">
        <f>ISNUMBER(SEARCH(",",F112))</f>
        <v>0</v>
      </c>
    </row>
    <row r="113" spans="1:22" ht="30" x14ac:dyDescent="0.25">
      <c r="A113" s="27" t="str">
        <f>IF(ISBLANK(N113)=TRUE,"Pending","Done")</f>
        <v>Done</v>
      </c>
      <c r="B113" s="27" t="s">
        <v>302</v>
      </c>
      <c r="C113" s="27">
        <v>47</v>
      </c>
      <c r="D113" s="27" t="str">
        <f>SUBSTITUTE(TRIM(RIGHT(SUBSTITUTE(IF(RIGHT(B113,1)="/",LEFT(B113,LEN(B113)-1),B113),"/",REPT(" ",LEN(B113))),LEN(B113))),"-"," ")</f>
        <v>48becf08ce1d8544f1ecd11b29940273</v>
      </c>
      <c r="E113" s="27" t="s">
        <v>843</v>
      </c>
      <c r="F113" s="27" t="s">
        <v>304</v>
      </c>
      <c r="G113" s="27" t="s">
        <v>81</v>
      </c>
      <c r="H113" s="27" t="s">
        <v>2384</v>
      </c>
      <c r="I113" s="27" t="s">
        <v>2385</v>
      </c>
      <c r="J113" s="27" t="s">
        <v>1750</v>
      </c>
      <c r="K113" s="27" t="s">
        <v>1750</v>
      </c>
      <c r="L113" s="27" t="s">
        <v>463</v>
      </c>
      <c r="M113" s="27" t="s">
        <v>707</v>
      </c>
      <c r="N113" s="27" t="s">
        <v>65</v>
      </c>
      <c r="O113" s="27">
        <v>5</v>
      </c>
      <c r="P113" s="27" t="s">
        <v>550</v>
      </c>
      <c r="Q113" s="27" t="str" cm="1">
        <f t="array" ref="Q113">_xlfn.REGEXEXTRACT(B113,"(?&lt;=//)[^/]+")</f>
        <v>www.porntry.com</v>
      </c>
      <c r="R113" s="27" t="s">
        <v>685</v>
      </c>
      <c r="S113" s="27" t="s">
        <v>1750</v>
      </c>
      <c r="T113" s="27" t="str" cm="1">
        <f t="array" ref="T113">IF(S113&lt;&gt;"NotApplicable",_xlfn.REGEXEXTRACT(S113,"\d+(?=p)"),"NotApplicable")</f>
        <v>NotApplicable</v>
      </c>
      <c r="U113" s="27" t="s">
        <v>1750</v>
      </c>
      <c r="V113" s="27" t="b">
        <f>ISNUMBER(SEARCH(",",F113))</f>
        <v>0</v>
      </c>
    </row>
    <row r="114" spans="1:22" ht="45" x14ac:dyDescent="0.25">
      <c r="A114" s="27" t="str">
        <f>IF(ISBLANK(N114)=TRUE,"Pending","Done")</f>
        <v>Done</v>
      </c>
      <c r="B114" s="27" t="s">
        <v>779</v>
      </c>
      <c r="C114" s="27">
        <v>70</v>
      </c>
      <c r="D114" s="27" t="str">
        <f>SUBSTITUTE(TRIM(RIGHT(SUBSTITUTE(IF(RIGHT(B114,1)="/",LEFT(B114,LEN(B114)-1),B114),"/",REPT(" ",LEN(B114))),LEN(B114))),"-"," ")</f>
        <v>latex goddess julia ann dominates dripping cock whore</v>
      </c>
      <c r="E114" s="27" t="s">
        <v>852</v>
      </c>
      <c r="F114" s="27" t="s">
        <v>778</v>
      </c>
      <c r="G114" s="27" t="s">
        <v>81</v>
      </c>
      <c r="H114" s="27" t="s">
        <v>2350</v>
      </c>
      <c r="I114" s="27" t="s">
        <v>2350</v>
      </c>
      <c r="J114" s="27" t="s">
        <v>1750</v>
      </c>
      <c r="K114" s="27" t="s">
        <v>1750</v>
      </c>
      <c r="L114" s="27" t="s">
        <v>1500</v>
      </c>
      <c r="M114" s="27" t="s">
        <v>1499</v>
      </c>
      <c r="N114" s="27" t="s">
        <v>65</v>
      </c>
      <c r="O114" s="27">
        <v>5</v>
      </c>
      <c r="P114" s="27" t="s">
        <v>1501</v>
      </c>
      <c r="Q114" s="27" t="str" cm="1">
        <f t="array" ref="Q114">_xlfn.REGEXEXTRACT(B114,"(?&lt;=//)[^/]+")</f>
        <v>www.pornissimo.org</v>
      </c>
      <c r="R114" s="27" t="s">
        <v>685</v>
      </c>
      <c r="S114" s="27" t="s">
        <v>1750</v>
      </c>
      <c r="T114" s="27" t="str" cm="1">
        <f t="array" ref="T114">IF(S114&lt;&gt;"NotApplicable",_xlfn.REGEXEXTRACT(S114,"\d+(?=p)"),"NotApplicable")</f>
        <v>NotApplicable</v>
      </c>
      <c r="U114" s="27" t="s">
        <v>1750</v>
      </c>
      <c r="V114" s="27" t="b">
        <f>ISNUMBER(SEARCH(",",F114))</f>
        <v>0</v>
      </c>
    </row>
    <row r="115" spans="1:22" ht="30" x14ac:dyDescent="0.25">
      <c r="A115" s="27" t="str">
        <f>IF(ISBLANK(N115)=TRUE,"Pending","Done")</f>
        <v>Done</v>
      </c>
      <c r="B115" s="27" t="s">
        <v>2410</v>
      </c>
      <c r="C115" s="27">
        <v>14</v>
      </c>
      <c r="D115" s="27" t="str">
        <f>SUBSTITUTE(TRIM(RIGHT(SUBSTITUTE(IF(RIGHT(B115,1)="/",LEFT(B115,LEN(B115)-1),B115),"/",REPT(" ",LEN(B115))),LEN(B115))),"-"," ")</f>
        <v>mollyredwolf valorant viper fuck her teammate femdom</v>
      </c>
      <c r="E115" s="27" t="s">
        <v>1747</v>
      </c>
      <c r="F115" s="27" t="s">
        <v>2411</v>
      </c>
      <c r="G115" s="27" t="s">
        <v>81</v>
      </c>
      <c r="H115" s="27" t="s">
        <v>2412</v>
      </c>
      <c r="I115" s="27" t="s">
        <v>2412</v>
      </c>
      <c r="J115" s="27" t="s">
        <v>1750</v>
      </c>
      <c r="K115" s="27" t="s">
        <v>1750</v>
      </c>
      <c r="L115" s="27" t="s">
        <v>452</v>
      </c>
      <c r="M115" s="27" t="s">
        <v>627</v>
      </c>
      <c r="N115" s="27" t="s">
        <v>65</v>
      </c>
      <c r="O115" s="27">
        <v>5</v>
      </c>
      <c r="P115" s="27" t="s">
        <v>271</v>
      </c>
      <c r="Q115" s="27" t="str" cm="1">
        <f t="array" ref="Q115">_xlfn.REGEXEXTRACT(B115,"(?&lt;=//)[^/]+")</f>
        <v>www.whoreshub.com</v>
      </c>
      <c r="R115" s="27" t="s">
        <v>685</v>
      </c>
      <c r="S115" s="27" t="s">
        <v>1750</v>
      </c>
      <c r="T115" s="27" t="str" cm="1">
        <f t="array" ref="T115">IF(S115&lt;&gt;"NotApplicable",_xlfn.REGEXEXTRACT(S115,"\d+(?=p)"),"NotApplicable")</f>
        <v>NotApplicable</v>
      </c>
      <c r="U115" s="27" t="s">
        <v>1750</v>
      </c>
      <c r="V115" s="27" t="b">
        <f>ISNUMBER(SEARCH(",",F115))</f>
        <v>0</v>
      </c>
    </row>
    <row r="116" spans="1:22" ht="30" x14ac:dyDescent="0.25">
      <c r="A116" s="27" t="str">
        <f>IF(ISBLANK(N116)=TRUE,"Pending","Done")</f>
        <v>Done</v>
      </c>
      <c r="B116" s="27" t="s">
        <v>269</v>
      </c>
      <c r="C116" s="27">
        <v>0</v>
      </c>
      <c r="D116" s="27" t="str">
        <f>SUBSTITUTE(TRIM(RIGHT(SUBSTITUTE(IF(RIGHT(B116,1)="/",LEFT(B116,LEN(B116)-1),B116),"/",REPT(" ",LEN(B116))),LEN(B116))),"-"," ")</f>
        <v>femdom humiliation</v>
      </c>
      <c r="E116" s="27" t="s">
        <v>1748</v>
      </c>
      <c r="F116" s="27" t="s">
        <v>1749</v>
      </c>
      <c r="G116" s="27" t="s">
        <v>81</v>
      </c>
      <c r="H116" s="27" t="s">
        <v>1750</v>
      </c>
      <c r="I116" s="27" t="s">
        <v>1750</v>
      </c>
      <c r="J116" s="27" t="s">
        <v>1750</v>
      </c>
      <c r="K116" s="27" t="s">
        <v>1750</v>
      </c>
      <c r="L116" s="27" t="s">
        <v>450</v>
      </c>
      <c r="M116" s="27" t="s">
        <v>703</v>
      </c>
      <c r="N116" s="27" t="s">
        <v>65</v>
      </c>
      <c r="O116" s="27">
        <v>5</v>
      </c>
      <c r="P116" s="27" t="s">
        <v>284</v>
      </c>
      <c r="Q116" s="27" t="str" cm="1">
        <f t="array" ref="Q116">_xlfn.REGEXEXTRACT(B116,"(?&lt;=//)[^/]+")</f>
        <v>www.fuq.com</v>
      </c>
      <c r="R116" s="27" t="s">
        <v>685</v>
      </c>
      <c r="S116" s="27" t="s">
        <v>1750</v>
      </c>
      <c r="T116" s="27" t="str" cm="1">
        <f t="array" ref="T116">IF(S116&lt;&gt;"NotApplicable",_xlfn.REGEXEXTRACT(S116,"\d+(?=p)"),"NotApplicable")</f>
        <v>NotApplicable</v>
      </c>
      <c r="U116" s="27" t="s">
        <v>1750</v>
      </c>
      <c r="V116" s="27" t="b">
        <f>ISNUMBER(SEARCH(",",F116))</f>
        <v>0</v>
      </c>
    </row>
    <row r="117" spans="1:22" ht="30" x14ac:dyDescent="0.25">
      <c r="A117" s="27" t="str">
        <f>IF(ISBLANK(N117)=TRUE,"Pending","Done")</f>
        <v>Done</v>
      </c>
      <c r="B117" s="27" t="s">
        <v>57</v>
      </c>
      <c r="C117" s="27">
        <v>57</v>
      </c>
      <c r="D117" s="27" t="str">
        <f>SUBSTITUTE(TRIM(RIGHT(SUBSTITUTE(IF(RIGHT(B117,1)="/",LEFT(B117,LEN(B117)-1),B117),"/",REPT(" ",LEN(B117))),LEN(B117))),"-"," ")</f>
        <v>oops she did it again prostate milking</v>
      </c>
      <c r="E117" s="27" t="s">
        <v>852</v>
      </c>
      <c r="F117" s="27" t="s">
        <v>191</v>
      </c>
      <c r="G117" s="27" t="s">
        <v>81</v>
      </c>
      <c r="H117" s="27" t="s">
        <v>2362</v>
      </c>
      <c r="I117" s="27" t="s">
        <v>2362</v>
      </c>
      <c r="J117" s="27" t="s">
        <v>1750</v>
      </c>
      <c r="K117" s="27" t="s">
        <v>1750</v>
      </c>
      <c r="L117" s="27" t="s">
        <v>544</v>
      </c>
      <c r="M117" s="27" t="s">
        <v>588</v>
      </c>
      <c r="N117" s="27" t="s">
        <v>65</v>
      </c>
      <c r="O117" s="27">
        <v>5</v>
      </c>
      <c r="P117" s="27" t="s">
        <v>104</v>
      </c>
      <c r="Q117" s="27" t="str" cm="1">
        <f t="array" ref="Q117">_xlfn.REGEXEXTRACT(B117,"(?&lt;=//)[^/]+")</f>
        <v>bdsmstreak.com</v>
      </c>
      <c r="R117" s="27" t="s">
        <v>685</v>
      </c>
      <c r="S117" s="27" t="s">
        <v>1750</v>
      </c>
      <c r="T117" s="27" t="str" cm="1">
        <f t="array" ref="T117">IF(S117&lt;&gt;"NotApplicable",_xlfn.REGEXEXTRACT(S117,"\d+(?=p)"),"NotApplicable")</f>
        <v>NotApplicable</v>
      </c>
      <c r="U117" s="27" t="s">
        <v>1750</v>
      </c>
      <c r="V117" s="27" t="b">
        <f>ISNUMBER(SEARCH(",",F117))</f>
        <v>0</v>
      </c>
    </row>
    <row r="118" spans="1:22" ht="30" x14ac:dyDescent="0.25">
      <c r="A118" s="27" t="str">
        <f>IF(ISBLANK(N118)=TRUE,"Pending","Done")</f>
        <v>Done</v>
      </c>
      <c r="B118" s="27" t="s">
        <v>1675</v>
      </c>
      <c r="C118" s="27">
        <v>44</v>
      </c>
      <c r="D118" s="27" t="str">
        <f>SUBSTITUTE(TRIM(RIGHT(SUBSTITUTE(IF(RIGHT(B118,1)="/",LEFT(B118,LEN(B118)-1),B118),"/",REPT(" ",LEN(B118))),LEN(B118))),"-"," ")</f>
        <v>the sadist s apprentice</v>
      </c>
      <c r="E118" s="27" t="s">
        <v>843</v>
      </c>
      <c r="F118" s="27" t="s">
        <v>854</v>
      </c>
      <c r="G118" s="27" t="s">
        <v>81</v>
      </c>
      <c r="H118" s="27" t="s">
        <v>2394</v>
      </c>
      <c r="I118" s="27" t="s">
        <v>2393</v>
      </c>
      <c r="J118" s="27" t="s">
        <v>1750</v>
      </c>
      <c r="K118" s="27" t="s">
        <v>1750</v>
      </c>
      <c r="L118" s="27" t="s">
        <v>1680</v>
      </c>
      <c r="M118" s="27" t="s">
        <v>706</v>
      </c>
      <c r="N118" s="27" t="s">
        <v>65</v>
      </c>
      <c r="O118" s="27">
        <v>5</v>
      </c>
      <c r="P118" s="27" t="s">
        <v>547</v>
      </c>
      <c r="Q118" s="27" t="str" cm="1">
        <f t="array" ref="Q118">_xlfn.REGEXEXTRACT(B118,"(?&lt;=//)[^/]+")</f>
        <v>bdsmstreak.com</v>
      </c>
      <c r="R118" s="27" t="s">
        <v>685</v>
      </c>
      <c r="S118" s="27" t="s">
        <v>1750</v>
      </c>
      <c r="T118" s="27" t="str" cm="1">
        <f t="array" ref="T118">IF(S118&lt;&gt;"NotApplicable",_xlfn.REGEXEXTRACT(S118,"\d+(?=p)"),"NotApplicable")</f>
        <v>NotApplicable</v>
      </c>
      <c r="U118" s="27" t="s">
        <v>1750</v>
      </c>
      <c r="V118" s="27" t="b">
        <f>ISNUMBER(SEARCH(",",F118))</f>
        <v>1</v>
      </c>
    </row>
    <row r="119" spans="1:22" ht="30" x14ac:dyDescent="0.25">
      <c r="A119" s="27" t="str">
        <f>IF(ISBLANK(N119)=TRUE,"Pending","Done")</f>
        <v>Done</v>
      </c>
      <c r="B119" s="27" t="s">
        <v>727</v>
      </c>
      <c r="C119" s="27">
        <v>28</v>
      </c>
      <c r="D119" s="27" t="str">
        <f>SUBSTITUTE(TRIM(RIGHT(SUBSTITUTE(IF(RIGHT(B119,1)="/",LEFT(B119,LEN(B119)-1),B119),"/",REPT(" ",LEN(B119))),LEN(B119))),"-"," ")</f>
        <v>chastity tease with melody pleasure and cheffie shot</v>
      </c>
      <c r="E119" s="27" t="s">
        <v>1747</v>
      </c>
      <c r="F119" s="27" t="s">
        <v>167</v>
      </c>
      <c r="G119" s="27" t="s">
        <v>728</v>
      </c>
      <c r="H119" s="27" t="s">
        <v>1750</v>
      </c>
      <c r="I119" s="27" t="s">
        <v>2409</v>
      </c>
      <c r="J119" s="27" t="s">
        <v>1750</v>
      </c>
      <c r="K119" s="27" t="s">
        <v>1750</v>
      </c>
      <c r="L119" s="27" t="s">
        <v>729</v>
      </c>
      <c r="M119" s="27" t="s">
        <v>79</v>
      </c>
      <c r="N119" s="27" t="s">
        <v>65</v>
      </c>
      <c r="O119" s="27">
        <v>5</v>
      </c>
      <c r="P119" s="27" t="s">
        <v>730</v>
      </c>
      <c r="Q119" s="27" t="str" cm="1">
        <f t="array" ref="Q119">_xlfn.REGEXEXTRACT(B119,"(?&lt;=//)[^/]+")</f>
        <v>bdsmmansion.com</v>
      </c>
      <c r="R119" s="27" t="s">
        <v>685</v>
      </c>
      <c r="S119" s="27" t="s">
        <v>1750</v>
      </c>
      <c r="T119" s="27" t="str" cm="1">
        <f t="array" ref="T119">IF(S119&lt;&gt;"NotApplicable",_xlfn.REGEXEXTRACT(S119,"\d+(?=p)"),"NotApplicable")</f>
        <v>NotApplicable</v>
      </c>
      <c r="U119" s="27" t="s">
        <v>1750</v>
      </c>
      <c r="V119" s="27" t="b">
        <f>ISNUMBER(SEARCH(",",F119))</f>
        <v>0</v>
      </c>
    </row>
    <row r="120" spans="1:22" ht="45" x14ac:dyDescent="0.25">
      <c r="A120" s="27" t="str">
        <f>IF(ISBLANK(N120)=TRUE,"Pending","Done")</f>
        <v>Done</v>
      </c>
      <c r="B120" s="27" t="s">
        <v>126</v>
      </c>
      <c r="C120" s="27">
        <v>44</v>
      </c>
      <c r="D120" s="27" t="str">
        <f>SUBSTITUTE(TRIM(RIGHT(SUBSTITUTE(IF(RIGHT(B120,1)="/",LEFT(B120,LEN(B120)-1),B120),"/",REPT(" ",LEN(B120))),LEN(B120))),"-"," ")</f>
        <v>alex and jay bondage with bonnie</v>
      </c>
      <c r="E120" s="27" t="s">
        <v>1747</v>
      </c>
      <c r="F120" s="27" t="s">
        <v>448</v>
      </c>
      <c r="G120" s="27" t="s">
        <v>197</v>
      </c>
      <c r="H120" s="27" t="s">
        <v>1750</v>
      </c>
      <c r="I120" s="27" t="s">
        <v>2456</v>
      </c>
      <c r="J120" s="27" t="s">
        <v>1750</v>
      </c>
      <c r="K120" s="27" t="s">
        <v>1750</v>
      </c>
      <c r="L120" s="27" t="s">
        <v>2455</v>
      </c>
      <c r="M120" s="27" t="s">
        <v>402</v>
      </c>
      <c r="N120" s="27" t="s">
        <v>292</v>
      </c>
      <c r="O120" s="27">
        <v>5</v>
      </c>
      <c r="P120" s="27" t="s">
        <v>2454</v>
      </c>
      <c r="Q120" s="27" t="str" cm="1">
        <f t="array" ref="Q120">_xlfn.REGEXEXTRACT(B120,"(?&lt;=//)[^/]+")</f>
        <v>txxx.com</v>
      </c>
      <c r="R120" s="27" t="s">
        <v>685</v>
      </c>
      <c r="S120" s="27" t="s">
        <v>1750</v>
      </c>
      <c r="T120" s="27" t="str" cm="1">
        <f t="array" ref="T120">IF(S120&lt;&gt;"NotApplicable",_xlfn.REGEXEXTRACT(S120,"\d+(?=p)"),"NotApplicable")</f>
        <v>NotApplicable</v>
      </c>
      <c r="U120" s="27" t="s">
        <v>1750</v>
      </c>
      <c r="V120" s="27" t="b">
        <f>ISNUMBER(SEARCH(",",F120))</f>
        <v>1</v>
      </c>
    </row>
    <row r="121" spans="1:22" ht="30" x14ac:dyDescent="0.25">
      <c r="A121" s="27" t="str">
        <f>IF(ISBLANK(N121)=TRUE,"Pending","Done")</f>
        <v>Done</v>
      </c>
      <c r="B121" s="27" t="s">
        <v>278</v>
      </c>
      <c r="C121" s="27">
        <v>128</v>
      </c>
      <c r="D121" s="27" t="str">
        <f>SUBSTITUTE(TRIM(RIGHT(SUBSTITUTE(IF(RIGHT(B121,1)="/",LEFT(B121,LEN(B121)-1),B121),"/",REPT(" ",LEN(B121))),LEN(B121))),"-"," ")</f>
        <v>lesbian teens licking each unknowns pussies</v>
      </c>
      <c r="E121" s="27" t="s">
        <v>1747</v>
      </c>
      <c r="F121" s="27" t="s">
        <v>1749</v>
      </c>
      <c r="G121" s="27" t="s">
        <v>166</v>
      </c>
      <c r="H121" s="27" t="s">
        <v>1750</v>
      </c>
      <c r="I121" s="27" t="s">
        <v>2345</v>
      </c>
      <c r="J121" s="27" t="s">
        <v>1750</v>
      </c>
      <c r="K121" s="27" t="s">
        <v>1750</v>
      </c>
      <c r="L121" s="27" t="s">
        <v>715</v>
      </c>
      <c r="M121" s="27" t="s">
        <v>385</v>
      </c>
      <c r="N121" s="27" t="s">
        <v>65</v>
      </c>
      <c r="O121" s="27">
        <v>5</v>
      </c>
      <c r="P121" s="27" t="s">
        <v>569</v>
      </c>
      <c r="Q121" s="27" t="str" cm="1">
        <f t="array" ref="Q121">_xlfn.REGEXEXTRACT(B121,"(?&lt;=//)[^/]+")</f>
        <v>heavyfetish.com</v>
      </c>
      <c r="R121" s="27" t="s">
        <v>685</v>
      </c>
      <c r="S121" s="27" t="s">
        <v>1750</v>
      </c>
      <c r="T121" s="27" t="str" cm="1">
        <f t="array" ref="T121">IF(S121&lt;&gt;"NotApplicable",_xlfn.REGEXEXTRACT(S121,"\d+(?=p)"),"NotApplicable")</f>
        <v>NotApplicable</v>
      </c>
      <c r="U121" s="27" t="s">
        <v>1750</v>
      </c>
      <c r="V121" s="27" t="b">
        <f>ISNUMBER(SEARCH(",",F121))</f>
        <v>0</v>
      </c>
    </row>
    <row r="122" spans="1:22" ht="30" x14ac:dyDescent="0.25">
      <c r="A122" s="27" t="str">
        <f>IF(ISBLANK(N122)=TRUE,"Pending","Done")</f>
        <v>Done</v>
      </c>
      <c r="B122" s="27" t="s">
        <v>7</v>
      </c>
      <c r="C122" s="27">
        <v>41</v>
      </c>
      <c r="D122" s="27" t="str">
        <f>SUBSTITUTE(TRIM(RIGHT(SUBSTITUTE(IF(RIGHT(B122,1)="/",LEFT(B122,LEN(B122)-1),B122),"/",REPT(" ",LEN(B122))),LEN(B122))),"-"," ")</f>
        <v>riley+reid+and+melissa+moore+hot+stepsisters</v>
      </c>
      <c r="E122" s="27" t="s">
        <v>1747</v>
      </c>
      <c r="F122" s="27" t="s">
        <v>327</v>
      </c>
      <c r="G122" s="27" t="s">
        <v>166</v>
      </c>
      <c r="H122" s="27" t="s">
        <v>2399</v>
      </c>
      <c r="I122" s="27" t="s">
        <v>2398</v>
      </c>
      <c r="J122" s="27" t="s">
        <v>1750</v>
      </c>
      <c r="K122" s="27" t="s">
        <v>1750</v>
      </c>
      <c r="L122" s="27" t="s">
        <v>1736</v>
      </c>
      <c r="M122" s="27" t="s">
        <v>620</v>
      </c>
      <c r="N122" s="27" t="s">
        <v>65</v>
      </c>
      <c r="O122" s="27">
        <v>5</v>
      </c>
      <c r="P122" s="27" t="s">
        <v>549</v>
      </c>
      <c r="Q122" s="27" t="str" cm="1">
        <f t="array" ref="Q122">_xlfn.REGEXEXTRACT(B122,"(?&lt;=//)[^/]+")</f>
        <v>spankbang.com</v>
      </c>
      <c r="R122" s="27" t="s">
        <v>685</v>
      </c>
      <c r="S122" s="27" t="s">
        <v>1750</v>
      </c>
      <c r="T122" s="27" t="str" cm="1">
        <f t="array" ref="T122">IF(S122&lt;&gt;"NotApplicable",_xlfn.REGEXEXTRACT(S122,"\d+(?=p)"),"NotApplicable")</f>
        <v>NotApplicable</v>
      </c>
      <c r="U122" s="27" t="s">
        <v>1750</v>
      </c>
      <c r="V122" s="27" t="b">
        <f>ISNUMBER(SEARCH(",",F122))</f>
        <v>1</v>
      </c>
    </row>
    <row r="123" spans="1:22" ht="30" x14ac:dyDescent="0.25">
      <c r="A123" s="27" t="str">
        <f>IF(ISBLANK(N123)=TRUE,"Pending","Done")</f>
        <v>Done</v>
      </c>
      <c r="B123" s="27" t="s">
        <v>2414</v>
      </c>
      <c r="C123" s="27">
        <v>11</v>
      </c>
      <c r="D123" s="27" t="str">
        <f>SUBSTITUTE(TRIM(RIGHT(SUBSTITUTE(IF(RIGHT(B123,1)="/",LEFT(B123,LEN(B123)-1),B123),"/",REPT(" ",LEN(B123))),LEN(B123))),"-"," ")</f>
        <v>whole foot into her ass siswet</v>
      </c>
      <c r="E123" s="27" t="s">
        <v>1747</v>
      </c>
      <c r="F123" s="27" t="s">
        <v>1749</v>
      </c>
      <c r="G123" s="27" t="s">
        <v>294</v>
      </c>
      <c r="H123" s="27" t="s">
        <v>1750</v>
      </c>
      <c r="I123" s="27" t="s">
        <v>2415</v>
      </c>
      <c r="J123" s="27" t="s">
        <v>1750</v>
      </c>
      <c r="K123" s="27" t="s">
        <v>1750</v>
      </c>
      <c r="L123" s="27" t="s">
        <v>2413</v>
      </c>
      <c r="M123" s="27" t="s">
        <v>73</v>
      </c>
      <c r="N123" s="27" t="s">
        <v>65</v>
      </c>
      <c r="O123" s="27">
        <v>5</v>
      </c>
      <c r="P123" s="27" t="s">
        <v>295</v>
      </c>
      <c r="Q123" s="27" t="str" cm="1">
        <f t="array" ref="Q123">_xlfn.REGEXEXTRACT(B123,"(?&lt;=//)[^/]+")</f>
        <v>www.xporn.tv</v>
      </c>
      <c r="R123" s="27" t="s">
        <v>685</v>
      </c>
      <c r="S123" s="27" t="s">
        <v>1750</v>
      </c>
      <c r="T123" s="27" t="str" cm="1">
        <f t="array" ref="T123">IF(S123&lt;&gt;"NotApplicable",_xlfn.REGEXEXTRACT(S123,"\d+(?=p)"),"NotApplicable")</f>
        <v>NotApplicable</v>
      </c>
      <c r="U123" s="27" t="s">
        <v>1750</v>
      </c>
      <c r="V123" s="27" t="b">
        <f>ISNUMBER(SEARCH(",",F123))</f>
        <v>0</v>
      </c>
    </row>
    <row r="124" spans="1:22" ht="30" x14ac:dyDescent="0.25">
      <c r="A124" s="27" t="str">
        <f>IF(ISBLANK(N124)=TRUE,"Pending","Done")</f>
        <v>Done</v>
      </c>
      <c r="B124" s="27" t="s">
        <v>18</v>
      </c>
      <c r="C124" s="27">
        <v>46</v>
      </c>
      <c r="D124" s="27" t="str">
        <f>SUBSTITUTE(TRIM(RIGHT(SUBSTITUTE(IF(RIGHT(B124,1)="/",LEFT(B124,LEN(B124)-1),B124),"/",REPT(" ",LEN(B124))),LEN(B124))),"-"," ")</f>
        <v>device bondage cherry torn</v>
      </c>
      <c r="E124" s="27" t="s">
        <v>853</v>
      </c>
      <c r="F124" s="27" t="s">
        <v>204</v>
      </c>
      <c r="G124" s="27" t="s">
        <v>70</v>
      </c>
      <c r="H124" s="27" t="s">
        <v>2387</v>
      </c>
      <c r="I124" s="27" t="s">
        <v>2386</v>
      </c>
      <c r="J124" s="27" t="s">
        <v>1750</v>
      </c>
      <c r="K124" s="27" t="s">
        <v>1750</v>
      </c>
      <c r="L124" s="27" t="s">
        <v>505</v>
      </c>
      <c r="M124" s="27" t="s">
        <v>705</v>
      </c>
      <c r="N124" s="27" t="s">
        <v>65</v>
      </c>
      <c r="O124" s="27">
        <v>5</v>
      </c>
      <c r="P124" s="27" t="s">
        <v>810</v>
      </c>
      <c r="Q124" s="27" t="str" cm="1">
        <f t="array" ref="Q124">_xlfn.REGEXEXTRACT(B124,"(?&lt;=//)[^/]+")</f>
        <v>heavyfetish.com</v>
      </c>
      <c r="R124" s="27" t="s">
        <v>685</v>
      </c>
      <c r="S124" s="27" t="s">
        <v>1750</v>
      </c>
      <c r="T124" s="27" t="str" cm="1">
        <f t="array" ref="T124">IF(S124&lt;&gt;"NotApplicable",_xlfn.REGEXEXTRACT(S124,"\d+(?=p)"),"NotApplicable")</f>
        <v>NotApplicable</v>
      </c>
      <c r="U124" s="27" t="s">
        <v>1750</v>
      </c>
      <c r="V124" s="27" t="b">
        <f>ISNUMBER(SEARCH(",",F124))</f>
        <v>0</v>
      </c>
    </row>
    <row r="125" spans="1:22" ht="45" x14ac:dyDescent="0.25">
      <c r="A125" s="27" t="str">
        <f>IF(ISBLANK(N125)=TRUE,"Pending","Done")</f>
        <v>Done</v>
      </c>
      <c r="B125" s="27" t="s">
        <v>2349</v>
      </c>
      <c r="C125" s="27">
        <v>89</v>
      </c>
      <c r="D125" s="27" t="str">
        <f>SUBSTITUTE(TRIM(RIGHT(SUBSTITUTE(IF(RIGHT(B125,1)="/",LEFT(B125,LEN(B125)-1),B125),"/",REPT(" ",LEN(B125))),LEN(B125))),"-"," ")</f>
        <v>double zippers and a double sybians these girls are made to cum until they forget their names</v>
      </c>
      <c r="E125" s="27" t="s">
        <v>853</v>
      </c>
      <c r="F125" s="27" t="s">
        <v>1678</v>
      </c>
      <c r="G125" s="27" t="s">
        <v>70</v>
      </c>
      <c r="H125" s="27" t="s">
        <v>2348</v>
      </c>
      <c r="I125" s="27" t="s">
        <v>2348</v>
      </c>
      <c r="J125" s="27" t="s">
        <v>1750</v>
      </c>
      <c r="K125" s="27" t="s">
        <v>1750</v>
      </c>
      <c r="L125" s="27" t="s">
        <v>2128</v>
      </c>
      <c r="M125" s="27" t="s">
        <v>386</v>
      </c>
      <c r="N125" s="27" t="s">
        <v>65</v>
      </c>
      <c r="O125" s="27">
        <v>5</v>
      </c>
      <c r="P125" s="27" t="s">
        <v>511</v>
      </c>
      <c r="Q125" s="27" t="str" cm="1">
        <f t="array" ref="Q125">_xlfn.REGEXEXTRACT(B125,"(?&lt;=//)[^/]+")</f>
        <v>bdsmstreak.com</v>
      </c>
      <c r="R125" s="27" t="s">
        <v>685</v>
      </c>
      <c r="S125" s="27" t="s">
        <v>1750</v>
      </c>
      <c r="T125" s="27" t="str" cm="1">
        <f t="array" ref="T125">IF(S125&lt;&gt;"NotApplicable",_xlfn.REGEXEXTRACT(S125,"\d+(?=p)"),"NotApplicable")</f>
        <v>NotApplicable</v>
      </c>
      <c r="U125" s="27" t="s">
        <v>1750</v>
      </c>
      <c r="V125" s="27" t="b">
        <f>ISNUMBER(SEARCH(",",F125))</f>
        <v>1</v>
      </c>
    </row>
    <row r="126" spans="1:22" ht="45" x14ac:dyDescent="0.25">
      <c r="A126" s="27" t="str">
        <f>IF(ISBLANK(N126)=TRUE,"Pending","Done")</f>
        <v>Done</v>
      </c>
      <c r="B126" s="27" t="s">
        <v>2364</v>
      </c>
      <c r="C126" s="27">
        <v>55</v>
      </c>
      <c r="D126" s="27" t="str">
        <f>SUBSTITUTE(TRIM(RIGHT(SUBSTITUTE(IF(RIGHT(B126,1)="/",LEFT(B126,LEN(B126)-1),B126),"/",REPT(" ",LEN(B126))),LEN(B126))),"-"," ")</f>
        <v>filling the void</v>
      </c>
      <c r="E126" s="27" t="s">
        <v>853</v>
      </c>
      <c r="F126" s="27" t="s">
        <v>169</v>
      </c>
      <c r="G126" s="27" t="s">
        <v>70</v>
      </c>
      <c r="H126" s="27" t="s">
        <v>2363</v>
      </c>
      <c r="I126" s="27" t="s">
        <v>2365</v>
      </c>
      <c r="J126" s="27" t="s">
        <v>1750</v>
      </c>
      <c r="K126" s="27" t="s">
        <v>1750</v>
      </c>
      <c r="L126" s="27" t="s">
        <v>554</v>
      </c>
      <c r="M126" s="27" t="s">
        <v>637</v>
      </c>
      <c r="N126" s="27" t="s">
        <v>65</v>
      </c>
      <c r="O126" s="27">
        <v>5</v>
      </c>
      <c r="P126" s="27" t="s">
        <v>583</v>
      </c>
      <c r="Q126" s="27" t="str" cm="1">
        <f t="array" ref="Q126">_xlfn.REGEXEXTRACT(B126,"(?&lt;=//)[^/]+")</f>
        <v>bdsmstreak.com</v>
      </c>
      <c r="R126" s="27" t="s">
        <v>685</v>
      </c>
      <c r="S126" s="27" t="s">
        <v>1750</v>
      </c>
      <c r="T126" s="27" t="str" cm="1">
        <f t="array" ref="T126">IF(S126&lt;&gt;"NotApplicable",_xlfn.REGEXEXTRACT(S126,"\d+(?=p)"),"NotApplicable")</f>
        <v>NotApplicable</v>
      </c>
      <c r="U126" s="27" t="s">
        <v>1750</v>
      </c>
      <c r="V126" s="27" t="b">
        <f>ISNUMBER(SEARCH(",",F126))</f>
        <v>0</v>
      </c>
    </row>
    <row r="127" spans="1:22" ht="45" x14ac:dyDescent="0.25">
      <c r="A127" s="27" t="str">
        <f>IF(ISBLANK(N127)=TRUE,"Pending","Done")</f>
        <v>Done</v>
      </c>
      <c r="B127" s="27" t="s">
        <v>857</v>
      </c>
      <c r="C127" s="27">
        <v>44</v>
      </c>
      <c r="D127" s="27" t="str">
        <f>SUBSTITUTE(TRIM(RIGHT(SUBSTITUTE(IF(RIGHT(B127,1)="/",LEFT(B127,LEN(B127)-1),B127),"/",REPT(" ",LEN(B127))),LEN(B127))),"-"," ")</f>
        <v>jessie cox ami emerson and isis love part 1 of 4 of the september live feed</v>
      </c>
      <c r="E127" s="27" t="s">
        <v>853</v>
      </c>
      <c r="F127" s="27" t="s">
        <v>731</v>
      </c>
      <c r="G127" s="27" t="s">
        <v>70</v>
      </c>
      <c r="H127" s="27" t="s">
        <v>2396</v>
      </c>
      <c r="I127" s="27" t="s">
        <v>2395</v>
      </c>
      <c r="J127" s="27" t="s">
        <v>1750</v>
      </c>
      <c r="K127" s="27" t="s">
        <v>1750</v>
      </c>
      <c r="L127" s="27" t="s">
        <v>1686</v>
      </c>
      <c r="M127" s="27" t="s">
        <v>1487</v>
      </c>
      <c r="N127" s="27" t="s">
        <v>65</v>
      </c>
      <c r="O127" s="27">
        <v>5</v>
      </c>
      <c r="P127" s="27" t="s">
        <v>1486</v>
      </c>
      <c r="Q127" s="27" t="str" cm="1">
        <f t="array" ref="Q127">_xlfn.REGEXEXTRACT(B127,"(?&lt;=//)[^/]+")</f>
        <v>bdsmstreak.com</v>
      </c>
      <c r="R127" s="27" t="s">
        <v>685</v>
      </c>
      <c r="S127" s="27" t="s">
        <v>1750</v>
      </c>
      <c r="T127" s="27" t="str" cm="1">
        <f t="array" ref="T127">IF(S127&lt;&gt;"NotApplicable",_xlfn.REGEXEXTRACT(S127,"\d+(?=p)"),"NotApplicable")</f>
        <v>NotApplicable</v>
      </c>
      <c r="U127" s="27" t="s">
        <v>1750</v>
      </c>
      <c r="V127" s="27" t="b">
        <f>ISNUMBER(SEARCH(",",F127))</f>
        <v>1</v>
      </c>
    </row>
    <row r="128" spans="1:22" ht="30" x14ac:dyDescent="0.25">
      <c r="A128" s="27" t="str">
        <f>IF(ISBLANK(N128)=TRUE,"Pending","Done")</f>
        <v>Done</v>
      </c>
      <c r="B128" s="27" t="s">
        <v>256</v>
      </c>
      <c r="C128" s="27">
        <v>0</v>
      </c>
      <c r="D128" s="27" t="str">
        <f>SUBSTITUTE(TRIM(RIGHT(SUBSTITUTE(IF(RIGHT(B128,1)="/",LEFT(B128,LEN(B128)-1),B128),"/",REPT(" ",LEN(B128))),LEN(B128))),"-"," ")</f>
        <v>kink classics</v>
      </c>
      <c r="E128" s="27" t="s">
        <v>842</v>
      </c>
      <c r="F128" s="27" t="s">
        <v>446</v>
      </c>
      <c r="G128" s="27" t="s">
        <v>70</v>
      </c>
      <c r="H128" s="27" t="s">
        <v>1750</v>
      </c>
      <c r="I128" s="27" t="s">
        <v>1750</v>
      </c>
      <c r="J128" s="27" t="s">
        <v>1750</v>
      </c>
      <c r="K128" s="27" t="s">
        <v>1750</v>
      </c>
      <c r="L128" s="27" t="s">
        <v>536</v>
      </c>
      <c r="M128" s="27" t="s">
        <v>393</v>
      </c>
      <c r="N128" s="27" t="s">
        <v>65</v>
      </c>
      <c r="O128" s="27">
        <v>5</v>
      </c>
      <c r="P128" s="27" t="s">
        <v>258</v>
      </c>
      <c r="Q128" s="27" t="str" cm="1">
        <f t="array" ref="Q128">_xlfn.REGEXEXTRACT(B128,"(?&lt;=//)[^/]+")</f>
        <v>www.txxx.porn</v>
      </c>
      <c r="R128" s="27" t="s">
        <v>685</v>
      </c>
      <c r="S128" s="27" t="s">
        <v>1750</v>
      </c>
      <c r="T128" s="27" t="str" cm="1">
        <f t="array" ref="T128">IF(S128&lt;&gt;"NotApplicable",_xlfn.REGEXEXTRACT(S128,"\d+(?=p)"),"NotApplicable")</f>
        <v>NotApplicable</v>
      </c>
      <c r="U128" s="27" t="s">
        <v>1750</v>
      </c>
      <c r="V128" s="27" t="b">
        <f>ISNUMBER(SEARCH(",",F128))</f>
        <v>0</v>
      </c>
    </row>
    <row r="129" spans="1:22" ht="30" x14ac:dyDescent="0.25">
      <c r="A129" s="27" t="str">
        <f>IF(ISBLANK(N129)=TRUE,"Pending","Done")</f>
        <v>Done</v>
      </c>
      <c r="B129" s="27" t="s">
        <v>1541</v>
      </c>
      <c r="C129" s="27">
        <v>12</v>
      </c>
      <c r="D129" s="27" t="str">
        <f>SUBSTITUTE(TRIM(RIGHT(SUBSTITUTE(IF(RIGHT(B129,1)="/",LEFT(B129,LEN(B129)-1),B129),"/",REPT(" ",LEN(B129))),LEN(B129))),"-"," ")</f>
        <v>87203</v>
      </c>
      <c r="E129" s="27" t="s">
        <v>853</v>
      </c>
      <c r="F129" s="27" t="s">
        <v>1575</v>
      </c>
      <c r="G129" s="27" t="s">
        <v>70</v>
      </c>
      <c r="H129" s="27" t="s">
        <v>2144</v>
      </c>
      <c r="I129" s="27" t="s">
        <v>2144</v>
      </c>
      <c r="J129" s="27" t="s">
        <v>1750</v>
      </c>
      <c r="K129" s="27" t="s">
        <v>1750</v>
      </c>
      <c r="L129" s="27" t="s">
        <v>2142</v>
      </c>
      <c r="M129" s="27" t="s">
        <v>1654</v>
      </c>
      <c r="N129" s="27" t="s">
        <v>65</v>
      </c>
      <c r="O129" s="27">
        <v>5</v>
      </c>
      <c r="P129" s="27" t="s">
        <v>2143</v>
      </c>
      <c r="Q129" s="27" t="str" cm="1">
        <f t="array" ref="Q129">_xlfn.REGEXEXTRACT(B129,"(?&lt;=//)[^/]+")</f>
        <v>bdsmstreak.com</v>
      </c>
      <c r="R129" s="27" t="s">
        <v>685</v>
      </c>
      <c r="S129" s="27" t="s">
        <v>1750</v>
      </c>
      <c r="T129" s="27" t="str" cm="1">
        <f t="array" ref="T129">IF(S129&lt;&gt;"NotApplicable",_xlfn.REGEXEXTRACT(S129,"\d+(?=p)"),"NotApplicable")</f>
        <v>NotApplicable</v>
      </c>
      <c r="U129" s="27" t="s">
        <v>1750</v>
      </c>
      <c r="V129" s="27" t="b">
        <f>ISNUMBER(SEARCH(",",F129))</f>
        <v>0</v>
      </c>
    </row>
    <row r="130" spans="1:22" ht="45" x14ac:dyDescent="0.25">
      <c r="A130" s="27" t="str">
        <f>IF(ISBLANK(N130)=TRUE,"Pending","Done")</f>
        <v>Done</v>
      </c>
      <c r="B130" s="27" t="s">
        <v>1543</v>
      </c>
      <c r="C130" s="27">
        <v>15</v>
      </c>
      <c r="D130" s="27" t="str">
        <f>SUBSTITUTE(TRIM(RIGHT(SUBSTITUTE(IF(RIGHT(B130,1)="/",LEFT(B130,LEN(B130)-1),B130),"/",REPT(" ",LEN(B130))),LEN(B130))),"-"," ")</f>
        <v>ass hooked caned made to cum so much she begs for mercy humilated and roughd so helpless</v>
      </c>
      <c r="E130" s="27" t="s">
        <v>849</v>
      </c>
      <c r="F130" s="27" t="s">
        <v>431</v>
      </c>
      <c r="G130" s="27" t="s">
        <v>70</v>
      </c>
      <c r="H130" s="27" t="s">
        <v>2154</v>
      </c>
      <c r="I130" s="27" t="s">
        <v>2154</v>
      </c>
      <c r="J130" s="27" t="s">
        <v>1750</v>
      </c>
      <c r="K130" s="27" t="s">
        <v>1750</v>
      </c>
      <c r="L130" s="27" t="s">
        <v>2157</v>
      </c>
      <c r="M130" s="27" t="s">
        <v>2155</v>
      </c>
      <c r="N130" s="27" t="s">
        <v>65</v>
      </c>
      <c r="O130" s="27">
        <v>5</v>
      </c>
      <c r="P130" s="27" t="s">
        <v>2156</v>
      </c>
      <c r="Q130" s="27" t="str" cm="1">
        <f t="array" ref="Q130">_xlfn.REGEXEXTRACT(B130,"(?&lt;=//)[^/]+")</f>
        <v>hcbdsm.com</v>
      </c>
      <c r="R130" s="27" t="s">
        <v>685</v>
      </c>
      <c r="S130" s="27" t="s">
        <v>1750</v>
      </c>
      <c r="T130" s="27" t="str" cm="1">
        <f t="array" ref="T130">IF(S130&lt;&gt;"NotApplicable",_xlfn.REGEXEXTRACT(S130,"\d+(?=p)"),"NotApplicable")</f>
        <v>NotApplicable</v>
      </c>
      <c r="U130" s="27" t="s">
        <v>1750</v>
      </c>
      <c r="V130" s="27" t="b">
        <f>ISNUMBER(SEARCH(",",F130))</f>
        <v>0</v>
      </c>
    </row>
    <row r="131" spans="1:22" ht="30" x14ac:dyDescent="0.25">
      <c r="A131" s="27" t="str">
        <f>IF(ISBLANK(N131)=TRUE,"Pending","Done")</f>
        <v>Done</v>
      </c>
      <c r="B131" s="27" t="s">
        <v>1668</v>
      </c>
      <c r="C131" s="27">
        <v>62</v>
      </c>
      <c r="D131" s="27" t="str">
        <f>SUBSTITUTE(TRIM(RIGHT(SUBSTITUTE(IF(RIGHT(B131,1)="/",LEFT(B131,LEN(B131)-1),B131),"/",REPT(" ",LEN(B131))),LEN(B131))),"-"," ")</f>
        <v>first timer in extreme bondage with brutal tormented and made to cum</v>
      </c>
      <c r="E131" s="27" t="s">
        <v>849</v>
      </c>
      <c r="F131" s="27" t="s">
        <v>229</v>
      </c>
      <c r="G131" s="27" t="s">
        <v>70</v>
      </c>
      <c r="H131" s="27" t="s">
        <v>2355</v>
      </c>
      <c r="I131" s="27" t="s">
        <v>2354</v>
      </c>
      <c r="J131" s="27" t="s">
        <v>1750</v>
      </c>
      <c r="K131" s="27" t="s">
        <v>1750</v>
      </c>
      <c r="L131" s="27" t="s">
        <v>531</v>
      </c>
      <c r="M131" s="27" t="s">
        <v>388</v>
      </c>
      <c r="N131" s="27" t="s">
        <v>65</v>
      </c>
      <c r="O131" s="27">
        <v>5</v>
      </c>
      <c r="P131" s="27" t="s">
        <v>533</v>
      </c>
      <c r="Q131" s="27" t="str" cm="1">
        <f t="array" ref="Q131">_xlfn.REGEXEXTRACT(B131,"(?&lt;=//)[^/]+")</f>
        <v>hcbdsm.com</v>
      </c>
      <c r="R131" s="27" t="s">
        <v>685</v>
      </c>
      <c r="S131" s="27" t="s">
        <v>1750</v>
      </c>
      <c r="T131" s="27" t="str" cm="1">
        <f t="array" ref="T131">IF(S131&lt;&gt;"NotApplicable",_xlfn.REGEXEXTRACT(S131,"\d+(?=p)"),"NotApplicable")</f>
        <v>NotApplicable</v>
      </c>
      <c r="U131" s="27" t="s">
        <v>1750</v>
      </c>
      <c r="V131" s="27" t="b">
        <f>ISNUMBER(SEARCH(",",F131))</f>
        <v>0</v>
      </c>
    </row>
    <row r="132" spans="1:22" ht="45" x14ac:dyDescent="0.25">
      <c r="A132" s="27" t="str">
        <f>IF(ISBLANK(N132)=TRUE,"Pending","Done")</f>
        <v>Done</v>
      </c>
      <c r="B132" s="27" t="s">
        <v>16</v>
      </c>
      <c r="C132" s="27">
        <v>51</v>
      </c>
      <c r="D132" s="27" t="str">
        <f>SUBSTITUTE(TRIM(RIGHT(SUBSTITUTE(IF(RIGHT(B132,1)="/",LEFT(B132,LEN(B132)-1),B132),"/",REPT(" ",LEN(B132))),LEN(B132))),"-"," ")</f>
        <v>hogtied abella danger masochistic pain slut</v>
      </c>
      <c r="E132" s="27" t="s">
        <v>849</v>
      </c>
      <c r="F132" s="27" t="s">
        <v>210</v>
      </c>
      <c r="G132" s="27" t="s">
        <v>70</v>
      </c>
      <c r="H132" s="27" t="s">
        <v>2373</v>
      </c>
      <c r="I132" s="27" t="s">
        <v>2372</v>
      </c>
      <c r="J132" s="27" t="s">
        <v>1750</v>
      </c>
      <c r="K132" s="27" t="s">
        <v>1750</v>
      </c>
      <c r="L132" s="27" t="s">
        <v>487</v>
      </c>
      <c r="M132" s="27" t="s">
        <v>391</v>
      </c>
      <c r="N132" s="27" t="s">
        <v>65</v>
      </c>
      <c r="O132" s="27">
        <v>5</v>
      </c>
      <c r="P132" s="27" t="s">
        <v>211</v>
      </c>
      <c r="Q132" s="27" t="str" cm="1">
        <f t="array" ref="Q132">_xlfn.REGEXEXTRACT(B132,"(?&lt;=//)[^/]+")</f>
        <v>heavyfetish.com</v>
      </c>
      <c r="R132" s="27" t="s">
        <v>685</v>
      </c>
      <c r="S132" s="27" t="s">
        <v>1750</v>
      </c>
      <c r="T132" s="27" t="str" cm="1">
        <f t="array" ref="T132">IF(S132&lt;&gt;"NotApplicable",_xlfn.REGEXEXTRACT(S132,"\d+(?=p)"),"NotApplicable")</f>
        <v>NotApplicable</v>
      </c>
      <c r="U132" s="27" t="s">
        <v>1750</v>
      </c>
      <c r="V132" s="27" t="b">
        <f>ISNUMBER(SEARCH(",",F132))</f>
        <v>0</v>
      </c>
    </row>
    <row r="133" spans="1:22" ht="30" x14ac:dyDescent="0.25">
      <c r="A133" s="27" t="str">
        <f>IF(ISBLANK(N133)=TRUE,"Pending","Done")</f>
        <v>Done</v>
      </c>
      <c r="B133" s="27" t="s">
        <v>127</v>
      </c>
      <c r="C133" s="27">
        <v>43</v>
      </c>
      <c r="D133" s="27" t="str">
        <f>SUBSTITUTE(TRIM(RIGHT(SUBSTITUTE(IF(RIGHT(B133,1)="/",LEFT(B133,LEN(B133)-1),B133),"/",REPT(" ",LEN(B133))),LEN(B133))),"-"," ")</f>
        <v>sasha sparks and lacie hart?jwsource=cl</v>
      </c>
      <c r="E133" s="27" t="s">
        <v>849</v>
      </c>
      <c r="F133" s="27" t="s">
        <v>326</v>
      </c>
      <c r="G133" s="27" t="s">
        <v>70</v>
      </c>
      <c r="H133" s="27" t="s">
        <v>2397</v>
      </c>
      <c r="I133" s="27" t="s">
        <v>2397</v>
      </c>
      <c r="J133" s="27" t="s">
        <v>1750</v>
      </c>
      <c r="K133" s="27" t="s">
        <v>1750</v>
      </c>
      <c r="L133" s="27" t="s">
        <v>1728</v>
      </c>
      <c r="M133" s="27" t="s">
        <v>633</v>
      </c>
      <c r="N133" s="27" t="s">
        <v>65</v>
      </c>
      <c r="O133" s="27">
        <v>5</v>
      </c>
      <c r="P133" s="27" t="s">
        <v>184</v>
      </c>
      <c r="Q133" s="27" t="str" cm="1">
        <f t="array" ref="Q133">_xlfn.REGEXEXTRACT(B133,"(?&lt;=//)[^/]+")</f>
        <v>bdsmstreak.com</v>
      </c>
      <c r="R133" s="27" t="s">
        <v>685</v>
      </c>
      <c r="S133" s="27" t="s">
        <v>1750</v>
      </c>
      <c r="T133" s="27" t="str" cm="1">
        <f t="array" ref="T133">IF(S133&lt;&gt;"NotApplicable",_xlfn.REGEXEXTRACT(S133,"\d+(?=p)"),"NotApplicable")</f>
        <v>NotApplicable</v>
      </c>
      <c r="U133" s="27" t="s">
        <v>1750</v>
      </c>
      <c r="V133" s="27" t="b">
        <f>ISNUMBER(SEARCH(",",F133))</f>
        <v>1</v>
      </c>
    </row>
    <row r="134" spans="1:22" ht="30" x14ac:dyDescent="0.25">
      <c r="A134" s="27" t="str">
        <f>IF(ISBLANK(N134)=TRUE,"Pending","Done")</f>
        <v>Done</v>
      </c>
      <c r="B134" s="27" t="s">
        <v>2389</v>
      </c>
      <c r="C134" s="27">
        <v>46</v>
      </c>
      <c r="D134" s="27" t="str">
        <f>SUBSTITUTE(TRIM(RIGHT(SUBSTITUTE(IF(RIGHT(B134,1)="/",LEFT(B134,LEN(B134)-1),B134),"/",REPT(" ",LEN(B134))),LEN(B134))),"-"," ")</f>
        <v>280045959</v>
      </c>
      <c r="E134" s="27" t="s">
        <v>842</v>
      </c>
      <c r="F134" s="27" t="s">
        <v>288</v>
      </c>
      <c r="G134" s="27" t="s">
        <v>70</v>
      </c>
      <c r="H134" s="27" t="s">
        <v>2388</v>
      </c>
      <c r="I134" s="27" t="s">
        <v>2390</v>
      </c>
      <c r="J134" s="27" t="s">
        <v>1750</v>
      </c>
      <c r="K134" s="27" t="s">
        <v>1750</v>
      </c>
      <c r="L134" s="27" t="s">
        <v>2391</v>
      </c>
      <c r="M134" s="27" t="s">
        <v>612</v>
      </c>
      <c r="N134" s="27" t="s">
        <v>65</v>
      </c>
      <c r="O134" s="27">
        <v>5</v>
      </c>
      <c r="P134" s="27" t="s">
        <v>2392</v>
      </c>
      <c r="Q134" s="27" t="str" cm="1">
        <f t="array" ref="Q134">_xlfn.REGEXEXTRACT(B134,"(?&lt;=//)[^/]+")</f>
        <v>pornone.com</v>
      </c>
      <c r="R134" s="27" t="s">
        <v>685</v>
      </c>
      <c r="S134" s="27" t="s">
        <v>1750</v>
      </c>
      <c r="T134" s="27" t="str" cm="1">
        <f t="array" ref="T134">IF(S134&lt;&gt;"NotApplicable",_xlfn.REGEXEXTRACT(S134,"\d+(?=p)"),"NotApplicable")</f>
        <v>NotApplicable</v>
      </c>
      <c r="U134" s="27" t="s">
        <v>1750</v>
      </c>
      <c r="V134" s="27" t="b">
        <f>ISNUMBER(SEARCH(",",F134))</f>
        <v>0</v>
      </c>
    </row>
    <row r="135" spans="1:22" ht="30" x14ac:dyDescent="0.25">
      <c r="A135" s="27" t="str">
        <f>IF(ISBLANK(N135)=TRUE,"Pending","Done")</f>
        <v>Done</v>
      </c>
      <c r="B135" s="27" t="s">
        <v>793</v>
      </c>
      <c r="C135" s="27">
        <v>47</v>
      </c>
      <c r="D135" s="27" t="str">
        <f>SUBSTITUTE(TRIM(RIGHT(SUBSTITUTE(IF(RIGHT(B135,1)="/",LEFT(B135,LEN(B135)-1),B135),"/",REPT(" ",LEN(B135))),LEN(B135))),"-"," ")</f>
        <v>hogtied katrina colt</v>
      </c>
      <c r="E135" s="27" t="s">
        <v>842</v>
      </c>
      <c r="F135" s="27" t="s">
        <v>751</v>
      </c>
      <c r="G135" s="27" t="s">
        <v>70</v>
      </c>
      <c r="H135" s="27" t="s">
        <v>2377</v>
      </c>
      <c r="I135" s="27" t="s">
        <v>2378</v>
      </c>
      <c r="J135" s="27" t="s">
        <v>1750</v>
      </c>
      <c r="K135" s="27" t="s">
        <v>1750</v>
      </c>
      <c r="L135" s="27" t="s">
        <v>797</v>
      </c>
      <c r="M135" s="27" t="s">
        <v>796</v>
      </c>
      <c r="N135" s="27" t="s">
        <v>65</v>
      </c>
      <c r="O135" s="27">
        <v>5</v>
      </c>
      <c r="P135" s="27" t="s">
        <v>798</v>
      </c>
      <c r="Q135" s="27" t="str" cm="1">
        <f t="array" ref="Q135">_xlfn.REGEXEXTRACT(B135,"(?&lt;=//)[^/]+")</f>
        <v>heavyfetish.com</v>
      </c>
      <c r="R135" s="27" t="s">
        <v>685</v>
      </c>
      <c r="S135" s="27" t="s">
        <v>1750</v>
      </c>
      <c r="T135" s="27" t="str" cm="1">
        <f t="array" ref="T135">IF(S135&lt;&gt;"NotApplicable",_xlfn.REGEXEXTRACT(S135,"\d+(?=p)"),"NotApplicable")</f>
        <v>NotApplicable</v>
      </c>
      <c r="U135" s="27" t="s">
        <v>1750</v>
      </c>
      <c r="V135" s="27" t="b">
        <f>ISNUMBER(SEARCH(",",F135))</f>
        <v>0</v>
      </c>
    </row>
    <row r="136" spans="1:22" ht="30" x14ac:dyDescent="0.25">
      <c r="A136" s="27" t="str">
        <f>IF(ISBLANK(N136)=TRUE,"Pending","Done")</f>
        <v>Done</v>
      </c>
      <c r="B136" s="27" t="s">
        <v>2368</v>
      </c>
      <c r="C136" s="27">
        <v>54</v>
      </c>
      <c r="D136" s="27" t="str">
        <f>SUBSTITUTE(TRIM(RIGHT(SUBSTITUTE(IF(RIGHT(B136,1)="/",LEFT(B136,LEN(B136)-1),B136),"/",REPT(" ",LEN(B136))),LEN(B136))),"-"," ")</f>
        <v>video24986231</v>
      </c>
      <c r="E136" s="27" t="s">
        <v>842</v>
      </c>
      <c r="F136" s="27" t="s">
        <v>425</v>
      </c>
      <c r="G136" s="27" t="s">
        <v>70</v>
      </c>
      <c r="H136" s="27" t="s">
        <v>2367</v>
      </c>
      <c r="I136" s="27" t="s">
        <v>2369</v>
      </c>
      <c r="J136" s="27" t="s">
        <v>1750</v>
      </c>
      <c r="K136" s="27" t="s">
        <v>1750</v>
      </c>
      <c r="L136" s="27" t="s">
        <v>571</v>
      </c>
      <c r="M136" s="27" t="s">
        <v>638</v>
      </c>
      <c r="N136" s="27" t="s">
        <v>65</v>
      </c>
      <c r="O136" s="27">
        <v>5</v>
      </c>
      <c r="P136" s="27" t="s">
        <v>473</v>
      </c>
      <c r="Q136" s="27" t="str" cm="1">
        <f t="array" ref="Q136">_xlfn.REGEXEXTRACT(B136,"(?&lt;=//)[^/]+")</f>
        <v>www.tnaflix.com</v>
      </c>
      <c r="R136" s="27" t="s">
        <v>685</v>
      </c>
      <c r="S136" s="27" t="s">
        <v>1750</v>
      </c>
      <c r="T136" s="27" t="str" cm="1">
        <f t="array" ref="T136">IF(S136&lt;&gt;"NotApplicable",_xlfn.REGEXEXTRACT(S136,"\d+(?=p)"),"NotApplicable")</f>
        <v>NotApplicable</v>
      </c>
      <c r="U136" s="27" t="s">
        <v>1750</v>
      </c>
      <c r="V136" s="27" t="b">
        <f>ISNUMBER(SEARCH(",",F136))</f>
        <v>0</v>
      </c>
    </row>
    <row r="137" spans="1:22" ht="30" x14ac:dyDescent="0.25">
      <c r="A137" s="27" t="str">
        <f>IF(ISBLANK(N137)=TRUE,"Pending","Done")</f>
        <v>Done</v>
      </c>
      <c r="B137" s="27" t="s">
        <v>137</v>
      </c>
      <c r="C137" s="27">
        <v>6</v>
      </c>
      <c r="D137" s="27" t="str">
        <f>SUBSTITUTE(TRIM(RIGHT(SUBSTITUTE(IF(RIGHT(B137,1)="/",LEFT(B137,LEN(B137)-1),B137),"/",REPT(" ",LEN(B137))),LEN(B137))),"-"," ")</f>
        <v>rope+walk</v>
      </c>
      <c r="E137" s="27" t="s">
        <v>1747</v>
      </c>
      <c r="F137" s="27" t="s">
        <v>855</v>
      </c>
      <c r="G137" s="27" t="s">
        <v>70</v>
      </c>
      <c r="H137" s="27" t="s">
        <v>1750</v>
      </c>
      <c r="I137" s="27" t="s">
        <v>2320</v>
      </c>
      <c r="J137" s="27" t="s">
        <v>1750</v>
      </c>
      <c r="K137" s="27" t="s">
        <v>1750</v>
      </c>
      <c r="L137" s="27" t="s">
        <v>580</v>
      </c>
      <c r="M137" s="27" t="s">
        <v>107</v>
      </c>
      <c r="N137" s="27" t="s">
        <v>65</v>
      </c>
      <c r="O137" s="27">
        <v>5</v>
      </c>
      <c r="P137" s="27" t="s">
        <v>220</v>
      </c>
      <c r="Q137" s="27" t="str" cm="1">
        <f t="array" ref="Q137">_xlfn.REGEXEXTRACT(B137,"(?&lt;=//)[^/]+")</f>
        <v>spankbang.com</v>
      </c>
      <c r="R137" s="27" t="s">
        <v>685</v>
      </c>
      <c r="S137" s="27" t="s">
        <v>1750</v>
      </c>
      <c r="T137" s="27" t="str" cm="1">
        <f t="array" ref="T137">IF(S137&lt;&gt;"NotApplicable",_xlfn.REGEXEXTRACT(S137,"\d+(?=p)"),"NotApplicable")</f>
        <v>NotApplicable</v>
      </c>
      <c r="U137" s="27" t="s">
        <v>1750</v>
      </c>
      <c r="V137" s="27" t="b">
        <f>ISNUMBER(SEARCH(",",F137))</f>
        <v>0</v>
      </c>
    </row>
    <row r="138" spans="1:22" ht="45" x14ac:dyDescent="0.25">
      <c r="A138" s="27" t="str">
        <f>IF(ISBLANK(N138)=TRUE,"Pending","Done")</f>
        <v>Done</v>
      </c>
      <c r="B138" s="27" t="s">
        <v>2346</v>
      </c>
      <c r="C138" s="27">
        <v>116</v>
      </c>
      <c r="D138" s="27" t="str">
        <f>SUBSTITUTE(TRIM(RIGHT(SUBSTITUTE(IF(RIGHT(B138,1)="/",LEFT(B138,LEN(B138)-1),B138),"/",REPT(" ",LEN(B138))),LEN(B138))),"-"," ")</f>
        <v>the fetish shop storythieves deserves cruel punishment extreme bdsm moviethe full movie</v>
      </c>
      <c r="E138" s="27" t="s">
        <v>1747</v>
      </c>
      <c r="F138" s="27" t="s">
        <v>247</v>
      </c>
      <c r="G138" s="27" t="s">
        <v>70</v>
      </c>
      <c r="H138" s="27" t="s">
        <v>1750</v>
      </c>
      <c r="I138" s="27" t="s">
        <v>2347</v>
      </c>
      <c r="J138" s="27" t="s">
        <v>1750</v>
      </c>
      <c r="K138" s="27" t="s">
        <v>1750</v>
      </c>
      <c r="L138" s="27" t="s">
        <v>461</v>
      </c>
      <c r="M138" s="27" t="s">
        <v>704</v>
      </c>
      <c r="N138" s="27" t="s">
        <v>65</v>
      </c>
      <c r="O138" s="27">
        <v>5</v>
      </c>
      <c r="P138" s="27" t="s">
        <v>248</v>
      </c>
      <c r="Q138" s="27" t="str" cm="1">
        <f t="array" ref="Q138">_xlfn.REGEXEXTRACT(B138,"(?&lt;=//)[^/]+")</f>
        <v>bdsmstreak.com</v>
      </c>
      <c r="R138" s="27" t="s">
        <v>685</v>
      </c>
      <c r="S138" s="27" t="s">
        <v>1750</v>
      </c>
      <c r="T138" s="27" t="str" cm="1">
        <f t="array" ref="T138">IF(S138&lt;&gt;"NotApplicable",_xlfn.REGEXEXTRACT(S138,"\d+(?=p)"),"NotApplicable")</f>
        <v>NotApplicable</v>
      </c>
      <c r="U138" s="27" t="s">
        <v>1750</v>
      </c>
      <c r="V138" s="27" t="b">
        <f>ISNUMBER(SEARCH(",",F138))</f>
        <v>0</v>
      </c>
    </row>
    <row r="139" spans="1:22" ht="30" x14ac:dyDescent="0.25">
      <c r="A139" s="27" t="str">
        <f>IF(ISBLANK(N139)=TRUE,"Pending","Done")</f>
        <v>Done</v>
      </c>
      <c r="B139" s="27" t="s">
        <v>1740</v>
      </c>
      <c r="C139" s="27">
        <v>129</v>
      </c>
      <c r="D139" s="27" t="str">
        <f>SUBSTITUTE(TRIM(RIGHT(SUBSTITUTE(IF(RIGHT(B139,1)="/",LEFT(B139,LEN(B139)-1),B139),"/",REPT(" ",LEN(B139))),LEN(B139))),"-"," ")</f>
        <v>tki 039</v>
      </c>
      <c r="E139" s="27" t="s">
        <v>1747</v>
      </c>
      <c r="F139" s="27" t="s">
        <v>1745</v>
      </c>
      <c r="G139" s="27" t="s">
        <v>70</v>
      </c>
      <c r="H139" s="27" t="s">
        <v>1750</v>
      </c>
      <c r="I139" s="27" t="s">
        <v>2344</v>
      </c>
      <c r="J139" s="27" t="s">
        <v>1750</v>
      </c>
      <c r="K139" s="27" t="s">
        <v>1750</v>
      </c>
      <c r="L139" s="27" t="s">
        <v>1744</v>
      </c>
      <c r="M139" s="27" t="s">
        <v>384</v>
      </c>
      <c r="N139" s="27" t="s">
        <v>250</v>
      </c>
      <c r="O139" s="27">
        <v>5</v>
      </c>
      <c r="P139" s="27" t="s">
        <v>566</v>
      </c>
      <c r="Q139" s="27" t="str" cm="1">
        <f t="array" ref="Q139">_xlfn.REGEXEXTRACT(B139,"(?&lt;=//)[^/]+")</f>
        <v>www.javxxx.me</v>
      </c>
      <c r="R139" s="27" t="s">
        <v>685</v>
      </c>
      <c r="S139" s="27" t="s">
        <v>1750</v>
      </c>
      <c r="T139" s="27" t="str" cm="1">
        <f t="array" ref="T139">IF(S139&lt;&gt;"NotApplicable",_xlfn.REGEXEXTRACT(S139,"\d+(?=p)"),"NotApplicable")</f>
        <v>NotApplicable</v>
      </c>
      <c r="U139" s="27" t="s">
        <v>1750</v>
      </c>
      <c r="V139" s="27" t="b">
        <f>ISNUMBER(SEARCH(",",F139))</f>
        <v>1</v>
      </c>
    </row>
    <row r="140" spans="1:22" ht="30" x14ac:dyDescent="0.25">
      <c r="A140" s="27" t="str">
        <f>IF(ISBLANK(N140)=TRUE,"Pending","Done")</f>
        <v>Done</v>
      </c>
      <c r="B140" s="27" t="s">
        <v>1517</v>
      </c>
      <c r="C140" s="27">
        <v>9</v>
      </c>
      <c r="D140" s="27" t="str">
        <f>SUBSTITUTE(TRIM(RIGHT(SUBSTITUTE(IF(RIGHT(B140,1)="/",LEFT(B140,LEN(B140)-1),B140),"/",REPT(" ",LEN(B140))),LEN(B140))),"-"," ")</f>
        <v>kenzie reeves a fine piece of bound meat part 4</v>
      </c>
      <c r="E140" s="27" t="s">
        <v>146</v>
      </c>
      <c r="F140" s="27" t="s">
        <v>1511</v>
      </c>
      <c r="G140" s="27" t="s">
        <v>70</v>
      </c>
      <c r="H140" s="27" t="s">
        <v>1513</v>
      </c>
      <c r="I140" s="27" t="s">
        <v>1522</v>
      </c>
      <c r="J140" s="27" t="s">
        <v>1750</v>
      </c>
      <c r="K140" s="27" t="s">
        <v>1750</v>
      </c>
      <c r="L140" s="27" t="s">
        <v>1532</v>
      </c>
      <c r="M140" s="27" t="s">
        <v>623</v>
      </c>
      <c r="N140" s="27" t="s">
        <v>65</v>
      </c>
      <c r="O140" s="27">
        <v>4</v>
      </c>
      <c r="P140" s="27" t="s">
        <v>1533</v>
      </c>
      <c r="Q140" s="27" t="str" cm="1">
        <f t="array" ref="Q140">_xlfn.REGEXEXTRACT(B140,"(?&lt;=//)[^/]+")</f>
        <v>www.porntrex.com</v>
      </c>
      <c r="R140" s="27" t="s">
        <v>684</v>
      </c>
      <c r="S140" s="27" t="s">
        <v>1512</v>
      </c>
      <c r="T140" s="27" t="str" cm="1">
        <f t="array" ref="T140">IF(S140&lt;&gt;"NotApplicable",_xlfn.REGEXEXTRACT(S140,"\d+(?=p)"),"NotApplicable")</f>
        <v>1080</v>
      </c>
      <c r="U140" s="27" t="s">
        <v>1518</v>
      </c>
      <c r="V140" s="27" t="b">
        <f>ISNUMBER(SEARCH(",",F140))</f>
        <v>0</v>
      </c>
    </row>
    <row r="141" spans="1:22" ht="30" x14ac:dyDescent="0.25">
      <c r="A141" s="27" t="str">
        <f>IF(ISBLANK(N141)=TRUE,"Pending","Done")</f>
        <v>Done</v>
      </c>
      <c r="B141" s="27" t="s">
        <v>1694</v>
      </c>
      <c r="C141" s="27">
        <v>80</v>
      </c>
      <c r="D141" s="27" t="str">
        <f>SUBSTITUTE(TRIM(RIGHT(SUBSTITUTE(IF(RIGHT(B141,1)="/",LEFT(B141,LEN(B141)-1),B141),"/",REPT(" ",LEN(B141))),LEN(B141))),"-"," ")</f>
        <v>butt sluts casey calvert and katja kassin</v>
      </c>
      <c r="E141" s="27" t="s">
        <v>851</v>
      </c>
      <c r="F141" s="27" t="s">
        <v>330</v>
      </c>
      <c r="G141" s="27" t="s">
        <v>71</v>
      </c>
      <c r="H141" s="27" t="s">
        <v>2420</v>
      </c>
      <c r="I141" s="27" t="s">
        <v>2420</v>
      </c>
      <c r="J141" s="27" t="s">
        <v>1750</v>
      </c>
      <c r="K141" s="27" t="s">
        <v>1750</v>
      </c>
      <c r="L141" s="27" t="s">
        <v>1693</v>
      </c>
      <c r="M141" s="27" t="s">
        <v>709</v>
      </c>
      <c r="N141" s="27" t="s">
        <v>65</v>
      </c>
      <c r="O141" s="27">
        <v>4</v>
      </c>
      <c r="P141" s="27" t="s">
        <v>109</v>
      </c>
      <c r="Q141" s="27" t="str" cm="1">
        <f t="array" ref="Q141">_xlfn.REGEXEXTRACT(B141,"(?&lt;=//)[^/]+")</f>
        <v>bdsmstreak.com</v>
      </c>
      <c r="R141" s="27" t="s">
        <v>685</v>
      </c>
      <c r="S141" s="27" t="s">
        <v>1750</v>
      </c>
      <c r="T141" s="27" t="str" cm="1">
        <f t="array" ref="T141">IF(S141&lt;&gt;"NotApplicable",_xlfn.REGEXEXTRACT(S141,"\d+(?=p)"),"NotApplicable")</f>
        <v>NotApplicable</v>
      </c>
      <c r="U141" s="27" t="s">
        <v>1750</v>
      </c>
      <c r="V141" s="27" t="b">
        <f>ISNUMBER(SEARCH(",",F141))</f>
        <v>1</v>
      </c>
    </row>
    <row r="142" spans="1:22" ht="30" x14ac:dyDescent="0.25">
      <c r="A142" s="27" t="str">
        <f>IF(ISBLANK(N142)=TRUE,"Pending","Done")</f>
        <v>Done</v>
      </c>
      <c r="B142" s="27" t="s">
        <v>15</v>
      </c>
      <c r="C142" s="27">
        <v>59</v>
      </c>
      <c r="D142" s="27" t="str">
        <f>SUBSTITUTE(TRIM(RIGHT(SUBSTITUTE(IF(RIGHT(B142,1)="/",LEFT(B142,LEN(B142)-1),B142),"/",REPT(" ",LEN(B142))),LEN(B142))),"-"," ")</f>
        <v>cheerleader and dominant brunette</v>
      </c>
      <c r="E142" s="27" t="s">
        <v>847</v>
      </c>
      <c r="F142" s="27" t="s">
        <v>332</v>
      </c>
      <c r="G142" s="27" t="s">
        <v>71</v>
      </c>
      <c r="H142" s="27" t="s">
        <v>2427</v>
      </c>
      <c r="I142" s="27" t="s">
        <v>2426</v>
      </c>
      <c r="J142" s="27" t="s">
        <v>1750</v>
      </c>
      <c r="K142" s="27" t="s">
        <v>1750</v>
      </c>
      <c r="L142" s="27" t="s">
        <v>1696</v>
      </c>
      <c r="M142" s="27" t="s">
        <v>396</v>
      </c>
      <c r="N142" s="27" t="s">
        <v>65</v>
      </c>
      <c r="O142" s="27">
        <v>4</v>
      </c>
      <c r="P142" s="27" t="s">
        <v>551</v>
      </c>
      <c r="Q142" s="27" t="str" cm="1">
        <f t="array" ref="Q142">_xlfn.REGEXEXTRACT(B142,"(?&lt;=//)[^/]+")</f>
        <v>bdsmstreak.com</v>
      </c>
      <c r="R142" s="27" t="s">
        <v>685</v>
      </c>
      <c r="S142" s="27" t="s">
        <v>1750</v>
      </c>
      <c r="T142" s="27" t="str" cm="1">
        <f t="array" ref="T142">IF(S142&lt;&gt;"NotApplicable",_xlfn.REGEXEXTRACT(S142,"\d+(?=p)"),"NotApplicable")</f>
        <v>NotApplicable</v>
      </c>
      <c r="U142" s="27" t="s">
        <v>1750</v>
      </c>
      <c r="V142" s="27" t="b">
        <f>ISNUMBER(SEARCH(",",F142))</f>
        <v>1</v>
      </c>
    </row>
    <row r="143" spans="1:22" ht="30" x14ac:dyDescent="0.25">
      <c r="A143" s="27" t="str">
        <f>IF(ISBLANK(N143)=TRUE,"Pending","Done")</f>
        <v>Done</v>
      </c>
      <c r="B143" s="27" t="s">
        <v>1779</v>
      </c>
      <c r="C143" s="27">
        <v>14</v>
      </c>
      <c r="D143" s="27" t="str">
        <f>SUBSTITUTE(TRIM(RIGHT(SUBSTITUTE(IF(RIGHT(B143,1)="/",LEFT(B143,LEN(B143)-1),B143),"/",REPT(" ",LEN(B143))),LEN(B143))),"-"," ")</f>
        <v>claire dames and wenona there is something you don t see everyday</v>
      </c>
      <c r="E143" s="27" t="s">
        <v>853</v>
      </c>
      <c r="F143" s="27" t="s">
        <v>1777</v>
      </c>
      <c r="G143" s="27" t="s">
        <v>71</v>
      </c>
      <c r="H143" s="27" t="s">
        <v>2151</v>
      </c>
      <c r="I143" s="27" t="s">
        <v>2151</v>
      </c>
      <c r="J143" s="27">
        <v>8</v>
      </c>
      <c r="K143" s="27" t="s">
        <v>1780</v>
      </c>
      <c r="L143" s="27" t="s">
        <v>2153</v>
      </c>
      <c r="M143" s="27" t="s">
        <v>2152</v>
      </c>
      <c r="N143" s="27" t="s">
        <v>65</v>
      </c>
      <c r="O143" s="27">
        <v>4</v>
      </c>
      <c r="P143" s="27" t="s">
        <v>226</v>
      </c>
      <c r="Q143" s="27" t="str" cm="1">
        <f t="array" ref="Q143">_xlfn.REGEXEXTRACT(B143,"(?&lt;=//)[^/]+")</f>
        <v>hcbdsm.com</v>
      </c>
      <c r="R143" s="27" t="s">
        <v>685</v>
      </c>
      <c r="S143" s="27" t="s">
        <v>1750</v>
      </c>
      <c r="T143" s="27" t="str" cm="1">
        <f t="array" ref="T143">IF(S143&lt;&gt;"NotApplicable",_xlfn.REGEXEXTRACT(S143,"\d+(?=p)"),"NotApplicable")</f>
        <v>NotApplicable</v>
      </c>
      <c r="U143" s="27" t="s">
        <v>1750</v>
      </c>
      <c r="V143" s="27" t="b">
        <f>ISNUMBER(SEARCH(",",F143))</f>
        <v>1</v>
      </c>
    </row>
    <row r="144" spans="1:22" ht="30" x14ac:dyDescent="0.25">
      <c r="A144" s="27" t="str">
        <f>IF(ISBLANK(N144)=TRUE,"Pending","Done")</f>
        <v>Done</v>
      </c>
      <c r="B144" s="27" t="s">
        <v>9</v>
      </c>
      <c r="C144" s="27">
        <v>58</v>
      </c>
      <c r="D144" s="27" t="str">
        <f>SUBSTITUTE(TRIM(RIGHT(SUBSTITUTE(IF(RIGHT(B144,1)="/",LEFT(B144,LEN(B144)-1),B144),"/",REPT(" ",LEN(B144))),LEN(B144))),"-"," ")</f>
        <v>device bondage claire adams tricia oaks</v>
      </c>
      <c r="E144" s="27" t="s">
        <v>853</v>
      </c>
      <c r="F144" s="27" t="s">
        <v>333</v>
      </c>
      <c r="G144" s="27" t="s">
        <v>71</v>
      </c>
      <c r="H144" s="27" t="s">
        <v>2429</v>
      </c>
      <c r="I144" s="27" t="s">
        <v>2428</v>
      </c>
      <c r="J144" s="27" t="s">
        <v>1750</v>
      </c>
      <c r="K144" s="27" t="s">
        <v>1750</v>
      </c>
      <c r="L144" s="27" t="s">
        <v>1697</v>
      </c>
      <c r="M144" s="27" t="s">
        <v>397</v>
      </c>
      <c r="N144" s="27" t="s">
        <v>65</v>
      </c>
      <c r="O144" s="27">
        <v>4</v>
      </c>
      <c r="P144" s="27" t="s">
        <v>515</v>
      </c>
      <c r="Q144" s="27" t="str" cm="1">
        <f t="array" ref="Q144">_xlfn.REGEXEXTRACT(B144,"(?&lt;=//)[^/]+")</f>
        <v>heavyfetish.com</v>
      </c>
      <c r="R144" s="27" t="s">
        <v>685</v>
      </c>
      <c r="S144" s="27" t="s">
        <v>1750</v>
      </c>
      <c r="T144" s="27" t="str" cm="1">
        <f t="array" ref="T144">IF(S144&lt;&gt;"NotApplicable",_xlfn.REGEXEXTRACT(S144,"\d+(?=p)"),"NotApplicable")</f>
        <v>NotApplicable</v>
      </c>
      <c r="U144" s="27" t="s">
        <v>1750</v>
      </c>
      <c r="V144" s="27" t="b">
        <f>ISNUMBER(SEARCH(",",F144))</f>
        <v>1</v>
      </c>
    </row>
    <row r="145" spans="1:22" ht="45" x14ac:dyDescent="0.25">
      <c r="A145" s="27" t="str">
        <f>IF(ISBLANK(N145)=TRUE,"Pending","Done")</f>
        <v>Done</v>
      </c>
      <c r="B145" s="27" t="s">
        <v>1633</v>
      </c>
      <c r="C145" s="27">
        <v>12</v>
      </c>
      <c r="D145" s="27" t="str">
        <f>SUBSTITUTE(TRIM(RIGHT(SUBSTITUTE(IF(RIGHT(B145,1)="/",LEFT(B145,LEN(B145)-1),B145),"/",REPT(" ",LEN(B145))),LEN(B145))),"-"," ")</f>
        <v>girl next door severely bound and helpless stripped elbows bound legs split multi orgasms</v>
      </c>
      <c r="E145" s="27" t="s">
        <v>849</v>
      </c>
      <c r="F145" s="27" t="s">
        <v>1646</v>
      </c>
      <c r="G145" s="27" t="s">
        <v>71</v>
      </c>
      <c r="H145" s="27" t="s">
        <v>2138</v>
      </c>
      <c r="I145" s="27" t="s">
        <v>2138</v>
      </c>
      <c r="J145" s="27" t="s">
        <v>1750</v>
      </c>
      <c r="K145" s="27" t="s">
        <v>1750</v>
      </c>
      <c r="L145" s="27" t="s">
        <v>2141</v>
      </c>
      <c r="M145" s="27" t="s">
        <v>2139</v>
      </c>
      <c r="N145" s="27" t="s">
        <v>65</v>
      </c>
      <c r="O145" s="27">
        <v>4</v>
      </c>
      <c r="P145" s="27" t="s">
        <v>2140</v>
      </c>
      <c r="Q145" s="27" t="str" cm="1">
        <f t="array" ref="Q145">_xlfn.REGEXEXTRACT(B145,"(?&lt;=//)[^/]+")</f>
        <v>hcbdsm.com</v>
      </c>
      <c r="R145" s="27" t="s">
        <v>685</v>
      </c>
      <c r="S145" s="27" t="s">
        <v>1750</v>
      </c>
      <c r="T145" s="27" t="str" cm="1">
        <f t="array" ref="T145">IF(S145&lt;&gt;"NotApplicable",_xlfn.REGEXEXTRACT(S145,"\d+(?=p)"),"NotApplicable")</f>
        <v>NotApplicable</v>
      </c>
      <c r="U145" s="27" t="s">
        <v>1750</v>
      </c>
      <c r="V145" s="27" t="b">
        <f>ISNUMBER(SEARCH(",",F145))</f>
        <v>1</v>
      </c>
    </row>
    <row r="146" spans="1:22" ht="30" x14ac:dyDescent="0.25">
      <c r="A146" s="27" t="str">
        <f>IF(ISBLANK(N146)=TRUE,"Pending","Done")</f>
        <v>Done</v>
      </c>
      <c r="B146" s="27" t="s">
        <v>37</v>
      </c>
      <c r="C146" s="27">
        <v>53</v>
      </c>
      <c r="D146" s="27" t="str">
        <f>SUBSTITUTE(TRIM(RIGHT(SUBSTITUTE(IF(RIGHT(B146,1)="/",LEFT(B146,LEN(B146)-1),B146),"/",REPT(" ",LEN(B146))),LEN(B146))),"-"," ")</f>
        <v>hardtied wenona glass injection</v>
      </c>
      <c r="E146" s="27" t="s">
        <v>2319</v>
      </c>
      <c r="F146" s="27" t="s">
        <v>85</v>
      </c>
      <c r="G146" s="27" t="s">
        <v>71</v>
      </c>
      <c r="H146" s="27" t="s">
        <v>2322</v>
      </c>
      <c r="I146" s="27" t="s">
        <v>2323</v>
      </c>
      <c r="J146" s="27" t="s">
        <v>1750</v>
      </c>
      <c r="K146" s="27" t="s">
        <v>1750</v>
      </c>
      <c r="L146" s="27" t="s">
        <v>815</v>
      </c>
      <c r="M146" s="27" t="s">
        <v>399</v>
      </c>
      <c r="N146" s="27" t="s">
        <v>65</v>
      </c>
      <c r="O146" s="27">
        <v>4</v>
      </c>
      <c r="P146" s="27" t="s">
        <v>811</v>
      </c>
      <c r="Q146" s="27" t="str" cm="1">
        <f t="array" ref="Q146">_xlfn.REGEXEXTRACT(B146,"(?&lt;=//)[^/]+")</f>
        <v>heavyfetish.com</v>
      </c>
      <c r="R146" s="27" t="s">
        <v>685</v>
      </c>
      <c r="S146" s="27" t="s">
        <v>1750</v>
      </c>
      <c r="T146" s="27" t="str" cm="1">
        <f t="array" ref="T146">IF(S146&lt;&gt;"NotApplicable",_xlfn.REGEXEXTRACT(S146,"\d+(?=p)"),"NotApplicable")</f>
        <v>NotApplicable</v>
      </c>
      <c r="U146" s="27" t="s">
        <v>1750</v>
      </c>
      <c r="V146" s="27" t="b">
        <f>ISNUMBER(SEARCH(",",F146))</f>
        <v>0</v>
      </c>
    </row>
    <row r="147" spans="1:22" ht="45" x14ac:dyDescent="0.25">
      <c r="A147" s="27" t="str">
        <f>IF(ISBLANK(N147)=TRUE,"Pending","Done")</f>
        <v>Done</v>
      </c>
      <c r="B147" s="27" t="s">
        <v>2570</v>
      </c>
      <c r="C147" s="27">
        <v>35</v>
      </c>
      <c r="D147" s="27" t="str">
        <f>SUBSTITUTE(TRIM(RIGHT(SUBSTITUTE(IF(RIGHT(B147,1)="/",LEFT(B147,LEN(B147)-1),B147),"/",REPT(" ",LEN(B147))),LEN(B147))),"-"," ")</f>
        <v>?promo=16271</v>
      </c>
      <c r="E147" s="27" t="s">
        <v>1747</v>
      </c>
      <c r="F147" s="27" t="s">
        <v>2567</v>
      </c>
      <c r="G147" s="27" t="s">
        <v>71</v>
      </c>
      <c r="H147" s="27" t="s">
        <v>2569</v>
      </c>
      <c r="I147" s="27" t="s">
        <v>2569</v>
      </c>
      <c r="J147" s="27" t="s">
        <v>1750</v>
      </c>
      <c r="K147" s="27" t="s">
        <v>1750</v>
      </c>
      <c r="L147" s="27" t="s">
        <v>2568</v>
      </c>
      <c r="M147" s="27" t="s">
        <v>662</v>
      </c>
      <c r="N147" s="27" t="s">
        <v>65</v>
      </c>
      <c r="O147" s="27">
        <v>4</v>
      </c>
      <c r="P147" s="27" t="s">
        <v>803</v>
      </c>
      <c r="Q147" s="27" t="str" cm="1">
        <f t="array" ref="Q147">_xlfn.REGEXEXTRACT(B147,"(?&lt;=//)[^/]+")</f>
        <v>f1.upornia.online</v>
      </c>
      <c r="R147" s="27" t="s">
        <v>685</v>
      </c>
      <c r="S147" s="27" t="s">
        <v>1750</v>
      </c>
      <c r="T147" s="27" t="str" cm="1">
        <f t="array" ref="T147">IF(S147&lt;&gt;"NotApplicable",_xlfn.REGEXEXTRACT(S147,"\d+(?=p)"),"NotApplicable")</f>
        <v>NotApplicable</v>
      </c>
      <c r="U147" s="27" t="s">
        <v>1750</v>
      </c>
      <c r="V147" s="27" t="b">
        <f>ISNUMBER(SEARCH(",",F147))</f>
        <v>1</v>
      </c>
    </row>
    <row r="148" spans="1:22" ht="30" x14ac:dyDescent="0.25">
      <c r="A148" s="27" t="str">
        <f>IF(ISBLANK(N148)=TRUE,"Pending","Done")</f>
        <v>Done</v>
      </c>
      <c r="B148" s="27" t="s">
        <v>432</v>
      </c>
      <c r="C148" s="27">
        <v>0</v>
      </c>
      <c r="D148" s="27" t="str">
        <f>SUBSTITUTE(TRIM(RIGHT(SUBSTITUTE(IF(RIGHT(B148,1)="/",LEFT(B148,LEN(B148)-1),B148),"/",REPT(" ",LEN(B148))),LEN(B148))),"-"," ")</f>
        <v>netfapx.net</v>
      </c>
      <c r="E148" s="27" t="s">
        <v>1748</v>
      </c>
      <c r="F148" s="27" t="s">
        <v>1749</v>
      </c>
      <c r="G148" s="27" t="s">
        <v>279</v>
      </c>
      <c r="H148" s="27" t="s">
        <v>1750</v>
      </c>
      <c r="I148" s="27" t="s">
        <v>1750</v>
      </c>
      <c r="J148" s="27" t="s">
        <v>1750</v>
      </c>
      <c r="K148" s="27" t="s">
        <v>1750</v>
      </c>
      <c r="L148" s="27" t="s">
        <v>59</v>
      </c>
      <c r="M148" s="27" t="s">
        <v>381</v>
      </c>
      <c r="N148" s="27" t="s">
        <v>65</v>
      </c>
      <c r="O148" s="27">
        <v>4</v>
      </c>
      <c r="P148" s="27" t="s">
        <v>237</v>
      </c>
      <c r="Q148" s="27" t="str" cm="1">
        <f t="array" ref="Q148">_xlfn.REGEXEXTRACT(B148,"(?&lt;=//)[^/]+")</f>
        <v>netfapx.net</v>
      </c>
      <c r="R148" s="27" t="s">
        <v>685</v>
      </c>
      <c r="S148" s="27" t="s">
        <v>1750</v>
      </c>
      <c r="T148" s="27" t="str" cm="1">
        <f t="array" ref="T148">IF(S148&lt;&gt;"NotApplicable",_xlfn.REGEXEXTRACT(S148,"\d+(?=p)"),"NotApplicable")</f>
        <v>NotApplicable</v>
      </c>
      <c r="U148" s="27" t="s">
        <v>1750</v>
      </c>
      <c r="V148" s="27" t="b">
        <f>ISNUMBER(SEARCH(",",F148))</f>
        <v>0</v>
      </c>
    </row>
    <row r="149" spans="1:22" ht="30" x14ac:dyDescent="0.25">
      <c r="A149" s="27" t="str">
        <f>IF(ISBLANK(N149)=TRUE,"Pending","Done")</f>
        <v>Done</v>
      </c>
      <c r="B149" s="27" t="s">
        <v>433</v>
      </c>
      <c r="C149" s="27">
        <v>0</v>
      </c>
      <c r="D149" s="27" t="str">
        <f>SUBSTITUTE(TRIM(RIGHT(SUBSTITUTE(IF(RIGHT(B149,1)="/",LEFT(B149,LEN(B149)-1),B149),"/",REPT(" ",LEN(B149))),LEN(B149))),"-"," ")</f>
        <v>pornzog.com</v>
      </c>
      <c r="E149" s="27" t="s">
        <v>1748</v>
      </c>
      <c r="F149" s="27" t="s">
        <v>1749</v>
      </c>
      <c r="G149" s="27" t="s">
        <v>279</v>
      </c>
      <c r="H149" s="27" t="s">
        <v>1750</v>
      </c>
      <c r="I149" s="27" t="s">
        <v>1750</v>
      </c>
      <c r="J149" s="27" t="s">
        <v>1750</v>
      </c>
      <c r="K149" s="27" t="s">
        <v>1750</v>
      </c>
      <c r="L149" s="27" t="s">
        <v>59</v>
      </c>
      <c r="M149" s="27" t="s">
        <v>381</v>
      </c>
      <c r="N149" s="27" t="s">
        <v>65</v>
      </c>
      <c r="O149" s="27">
        <v>4</v>
      </c>
      <c r="P149" s="27" t="s">
        <v>240</v>
      </c>
      <c r="Q149" s="27" t="str" cm="1">
        <f t="array" ref="Q149">_xlfn.REGEXEXTRACT(B149,"(?&lt;=//)[^/]+")</f>
        <v>pornzog.com</v>
      </c>
      <c r="R149" s="27" t="s">
        <v>685</v>
      </c>
      <c r="S149" s="27" t="s">
        <v>1750</v>
      </c>
      <c r="T149" s="27" t="str" cm="1">
        <f t="array" ref="T149">IF(S149&lt;&gt;"NotApplicable",_xlfn.REGEXEXTRACT(S149,"\d+(?=p)"),"NotApplicable")</f>
        <v>NotApplicable</v>
      </c>
      <c r="U149" s="27" t="s">
        <v>1750</v>
      </c>
      <c r="V149" s="27" t="b">
        <f>ISNUMBER(SEARCH(",",F149))</f>
        <v>0</v>
      </c>
    </row>
    <row r="150" spans="1:22" ht="30" x14ac:dyDescent="0.25">
      <c r="A150" s="27" t="str">
        <f>IF(ISBLANK(N150)=TRUE,"Pending","Done")</f>
        <v>Done</v>
      </c>
      <c r="B150" s="27" t="s">
        <v>301</v>
      </c>
      <c r="C150" s="27">
        <v>44</v>
      </c>
      <c r="D150" s="27" t="str">
        <f>SUBSTITUTE(TRIM(RIGHT(SUBSTITUTE(IF(RIGHT(B150,1)="/",LEFT(B150,LEN(B150)-1),B150),"/",REPT(" ",LEN(B150))),LEN(B150))),"-"," ")</f>
        <v>47e1b5131fea40a07c8dbe676b82203b</v>
      </c>
      <c r="E150" s="27" t="s">
        <v>843</v>
      </c>
      <c r="F150" s="27" t="s">
        <v>303</v>
      </c>
      <c r="G150" s="27" t="s">
        <v>81</v>
      </c>
      <c r="H150" s="27" t="s">
        <v>2453</v>
      </c>
      <c r="I150" s="27" t="s">
        <v>2452</v>
      </c>
      <c r="J150" s="27" t="s">
        <v>1750</v>
      </c>
      <c r="K150" s="27" t="s">
        <v>1750</v>
      </c>
      <c r="L150" s="27" t="s">
        <v>479</v>
      </c>
      <c r="M150" s="27" t="s">
        <v>394</v>
      </c>
      <c r="N150" s="27" t="s">
        <v>65</v>
      </c>
      <c r="O150" s="27">
        <v>4</v>
      </c>
      <c r="P150" s="27" t="s">
        <v>509</v>
      </c>
      <c r="Q150" s="27" t="str" cm="1">
        <f t="array" ref="Q150">_xlfn.REGEXEXTRACT(B150,"(?&lt;=//)[^/]+")</f>
        <v>www.porntry.com</v>
      </c>
      <c r="R150" s="27" t="s">
        <v>685</v>
      </c>
      <c r="S150" s="27" t="s">
        <v>1750</v>
      </c>
      <c r="T150" s="27" t="str" cm="1">
        <f t="array" ref="T150">IF(S150&lt;&gt;"NotApplicable",_xlfn.REGEXEXTRACT(S150,"\d+(?=p)"),"NotApplicable")</f>
        <v>NotApplicable</v>
      </c>
      <c r="U150" s="27" t="s">
        <v>1750</v>
      </c>
      <c r="V150" s="27" t="b">
        <f>ISNUMBER(SEARCH(",",F150))</f>
        <v>0</v>
      </c>
    </row>
    <row r="151" spans="1:22" ht="45" x14ac:dyDescent="0.25">
      <c r="A151" s="27" t="str">
        <f>IF(ISBLANK(N151)=TRUE,"Pending","Done")</f>
        <v>Done</v>
      </c>
      <c r="B151" s="27" t="s">
        <v>1739</v>
      </c>
      <c r="C151" s="27">
        <v>52</v>
      </c>
      <c r="D151" s="27" t="str">
        <f>SUBSTITUTE(TRIM(RIGHT(SUBSTITUTE(IF(RIGHT(B151,1)="/",LEFT(B151,LEN(B151)-1),B151),"/",REPT(" ",LEN(B151))),LEN(B151))),"-"," ")</f>
        <v>new male sub falls deep into sub space like never seen before on divine bitches</v>
      </c>
      <c r="E151" s="27" t="s">
        <v>852</v>
      </c>
      <c r="F151" s="27" t="s">
        <v>1741</v>
      </c>
      <c r="G151" s="27" t="s">
        <v>81</v>
      </c>
      <c r="H151" s="27" t="s">
        <v>2441</v>
      </c>
      <c r="I151" s="27" t="s">
        <v>2440</v>
      </c>
      <c r="J151" s="27" t="s">
        <v>1750</v>
      </c>
      <c r="K151" s="27" t="s">
        <v>1750</v>
      </c>
      <c r="L151" s="27" t="s">
        <v>647</v>
      </c>
      <c r="M151" s="27" t="s">
        <v>616</v>
      </c>
      <c r="N151" s="27" t="s">
        <v>65</v>
      </c>
      <c r="O151" s="27">
        <v>4</v>
      </c>
      <c r="P151" s="27" t="s">
        <v>649</v>
      </c>
      <c r="Q151" s="27" t="str" cm="1">
        <f t="array" ref="Q151">_xlfn.REGEXEXTRACT(B151,"(?&lt;=//)[^/]+")</f>
        <v>hcbdsm.com</v>
      </c>
      <c r="R151" s="27" t="s">
        <v>685</v>
      </c>
      <c r="S151" s="27" t="s">
        <v>1750</v>
      </c>
      <c r="T151" s="27" t="str" cm="1">
        <f t="array" ref="T151">IF(S151&lt;&gt;"NotApplicable",_xlfn.REGEXEXTRACT(S151,"\d+(?=p)"),"NotApplicable")</f>
        <v>NotApplicable</v>
      </c>
      <c r="U151" s="27" t="s">
        <v>1750</v>
      </c>
      <c r="V151" s="27" t="b">
        <f>ISNUMBER(SEARCH(",",F151))</f>
        <v>1</v>
      </c>
    </row>
    <row r="152" spans="1:22" ht="30" x14ac:dyDescent="0.25">
      <c r="A152" s="27" t="str">
        <f>IF(ISBLANK(N152)=TRUE,"Pending","Done")</f>
        <v>Done</v>
      </c>
      <c r="B152" s="27" t="s">
        <v>259</v>
      </c>
      <c r="C152" s="27">
        <v>0</v>
      </c>
      <c r="D152" s="27" t="str">
        <f>SUBSTITUTE(TRIM(RIGHT(SUBSTITUTE(IF(RIGHT(B152,1)="/",LEFT(B152,LEN(B152)-1),B152),"/",REPT(" ",LEN(B152))),LEN(B152))),"-"," ")</f>
        <v>japanese femdom</v>
      </c>
      <c r="E152" s="27" t="s">
        <v>1748</v>
      </c>
      <c r="F152" s="27" t="s">
        <v>1749</v>
      </c>
      <c r="G152" s="27" t="s">
        <v>81</v>
      </c>
      <c r="H152" s="27" t="s">
        <v>1750</v>
      </c>
      <c r="I152" s="27" t="s">
        <v>1750</v>
      </c>
      <c r="J152" s="27" t="s">
        <v>1750</v>
      </c>
      <c r="K152" s="27" t="s">
        <v>1750</v>
      </c>
      <c r="L152" s="27" t="s">
        <v>493</v>
      </c>
      <c r="M152" s="27" t="s">
        <v>640</v>
      </c>
      <c r="N152" s="27" t="s">
        <v>250</v>
      </c>
      <c r="O152" s="27">
        <v>4</v>
      </c>
      <c r="P152" s="27" t="s">
        <v>260</v>
      </c>
      <c r="Q152" s="27" t="str" cm="1">
        <f t="array" ref="Q152">_xlfn.REGEXEXTRACT(B152,"(?&lt;=//)[^/]+")</f>
        <v>www.tubegalore.com</v>
      </c>
      <c r="R152" s="27" t="s">
        <v>685</v>
      </c>
      <c r="S152" s="27" t="s">
        <v>1750</v>
      </c>
      <c r="T152" s="27" t="str" cm="1">
        <f t="array" ref="T152">IF(S152&lt;&gt;"NotApplicable",_xlfn.REGEXEXTRACT(S152,"\d+(?=p)"),"NotApplicable")</f>
        <v>NotApplicable</v>
      </c>
      <c r="U152" s="27" t="s">
        <v>1750</v>
      </c>
      <c r="V152" s="27" t="b">
        <f>ISNUMBER(SEARCH(",",F152))</f>
        <v>0</v>
      </c>
    </row>
    <row r="153" spans="1:22" ht="30" x14ac:dyDescent="0.25">
      <c r="A153" s="27" t="str">
        <f>IF(ISBLANK(N153)=TRUE,"Pending","Done")</f>
        <v>Done</v>
      </c>
      <c r="B153" s="27" t="s">
        <v>49</v>
      </c>
      <c r="C153" s="27">
        <v>67</v>
      </c>
      <c r="D153" s="27" t="str">
        <f>SUBSTITUTE(TRIM(RIGHT(SUBSTITUTE(IF(RIGHT(B153,1)="/",LEFT(B153,LEN(B153)-1),B153),"/",REPT(" ",LEN(B153))),LEN(B153))),"-"," ")</f>
        <v>welcome mz berlin to divine bitches</v>
      </c>
      <c r="E153" s="27" t="s">
        <v>852</v>
      </c>
      <c r="F153" s="27" t="s">
        <v>80</v>
      </c>
      <c r="G153" s="27" t="s">
        <v>81</v>
      </c>
      <c r="H153" s="27" t="s">
        <v>2421</v>
      </c>
      <c r="I153" s="27" t="s">
        <v>2421</v>
      </c>
      <c r="J153" s="27" t="s">
        <v>1750</v>
      </c>
      <c r="K153" s="27" t="s">
        <v>1750</v>
      </c>
      <c r="L153" s="27" t="s">
        <v>492</v>
      </c>
      <c r="M153" s="27" t="s">
        <v>708</v>
      </c>
      <c r="N153" s="27" t="s">
        <v>65</v>
      </c>
      <c r="O153" s="27">
        <v>4</v>
      </c>
      <c r="P153" s="27" t="s">
        <v>82</v>
      </c>
      <c r="Q153" s="27" t="str" cm="1">
        <f t="array" ref="Q153">_xlfn.REGEXEXTRACT(B153,"(?&lt;=//)[^/]+")</f>
        <v>bdsmstreak.com</v>
      </c>
      <c r="R153" s="27" t="s">
        <v>685</v>
      </c>
      <c r="S153" s="27" t="s">
        <v>1750</v>
      </c>
      <c r="T153" s="27" t="str" cm="1">
        <f t="array" ref="T153">IF(S153&lt;&gt;"NotApplicable",_xlfn.REGEXEXTRACT(S153,"\d+(?=p)"),"NotApplicable")</f>
        <v>NotApplicable</v>
      </c>
      <c r="U153" s="27" t="s">
        <v>1750</v>
      </c>
      <c r="V153" s="27" t="b">
        <f>ISNUMBER(SEARCH(",",F153))</f>
        <v>0</v>
      </c>
    </row>
    <row r="154" spans="1:22" ht="30" x14ac:dyDescent="0.25">
      <c r="A154" s="27" t="str">
        <f>IF(ISBLANK(N154)=TRUE,"Pending","Done")</f>
        <v>Done</v>
      </c>
      <c r="B154" s="27" t="s">
        <v>1683</v>
      </c>
      <c r="C154" s="27">
        <v>42</v>
      </c>
      <c r="D154" s="27" t="str">
        <f>SUBSTITUTE(TRIM(RIGHT(SUBSTITUTE(IF(RIGHT(B154,1)="/",LEFT(B154,LEN(B154)-1),B154),"/",REPT(" ",LEN(B154))),LEN(B154))),"-"," ")</f>
        <v>two mean bitches and one worthless little prick6</v>
      </c>
      <c r="E154" s="27" t="s">
        <v>843</v>
      </c>
      <c r="F154" s="27" t="s">
        <v>335</v>
      </c>
      <c r="G154" s="27" t="s">
        <v>81</v>
      </c>
      <c r="H154" s="27" t="s">
        <v>2546</v>
      </c>
      <c r="I154" s="27" t="s">
        <v>2546</v>
      </c>
      <c r="J154" s="27" t="s">
        <v>1750</v>
      </c>
      <c r="K154" s="27" t="s">
        <v>1750</v>
      </c>
      <c r="L154" s="27" t="s">
        <v>1682</v>
      </c>
      <c r="M154" s="27" t="s">
        <v>635</v>
      </c>
      <c r="N154" s="27" t="s">
        <v>65</v>
      </c>
      <c r="O154" s="27">
        <v>4</v>
      </c>
      <c r="P154" s="27" t="s">
        <v>512</v>
      </c>
      <c r="Q154" s="27" t="str" cm="1">
        <f t="array" ref="Q154">_xlfn.REGEXEXTRACT(B154,"(?&lt;=//)[^/]+")</f>
        <v>hcbdsm.com</v>
      </c>
      <c r="R154" s="27" t="s">
        <v>685</v>
      </c>
      <c r="S154" s="27" t="s">
        <v>1750</v>
      </c>
      <c r="T154" s="27" t="str" cm="1">
        <f t="array" ref="T154">IF(S154&lt;&gt;"NotApplicable",_xlfn.REGEXEXTRACT(S154,"\d+(?=p)"),"NotApplicable")</f>
        <v>NotApplicable</v>
      </c>
      <c r="U154" s="27" t="s">
        <v>1750</v>
      </c>
      <c r="V154" s="27" t="b">
        <f>ISNUMBER(SEARCH(",",F154))</f>
        <v>1</v>
      </c>
    </row>
    <row r="155" spans="1:22" ht="30" x14ac:dyDescent="0.25">
      <c r="A155" s="27" t="str">
        <f>IF(ISBLANK(N155)=TRUE,"Pending","Done")</f>
        <v>Done</v>
      </c>
      <c r="B155" s="27" t="s">
        <v>273</v>
      </c>
      <c r="C155" s="27">
        <v>22</v>
      </c>
      <c r="D155" s="27" t="str">
        <f>SUBSTITUTE(TRIM(RIGHT(SUBSTITUTE(IF(RIGHT(B155,1)="/",LEFT(B155,LEN(B155)-1),B155),"/",REPT(" ",LEN(B155))),LEN(B155))),"-"," ")</f>
        <v>the english mansion owned by kiana</v>
      </c>
      <c r="E155" s="27" t="s">
        <v>111</v>
      </c>
      <c r="F155" s="27" t="s">
        <v>2559</v>
      </c>
      <c r="G155" s="27" t="s">
        <v>81</v>
      </c>
      <c r="H155" s="27" t="s">
        <v>2560</v>
      </c>
      <c r="I155" s="27" t="s">
        <v>2558</v>
      </c>
      <c r="J155" s="27" t="s">
        <v>1750</v>
      </c>
      <c r="K155" s="27" t="s">
        <v>1750</v>
      </c>
      <c r="L155" s="27" t="s">
        <v>494</v>
      </c>
      <c r="M155" s="27" t="s">
        <v>614</v>
      </c>
      <c r="N155" s="27" t="s">
        <v>65</v>
      </c>
      <c r="O155" s="27">
        <v>4</v>
      </c>
      <c r="P155" s="27" t="s">
        <v>296</v>
      </c>
      <c r="Q155" s="27" t="str" cm="1">
        <f t="array" ref="Q155">_xlfn.REGEXEXTRACT(B155,"(?&lt;=//)[^/]+")</f>
        <v>heavyfetish.com</v>
      </c>
      <c r="R155" s="27" t="s">
        <v>685</v>
      </c>
      <c r="S155" s="27" t="s">
        <v>1750</v>
      </c>
      <c r="T155" s="27" t="str" cm="1">
        <f t="array" ref="T155">IF(S155&lt;&gt;"NotApplicable",_xlfn.REGEXEXTRACT(S155,"\d+(?=p)"),"NotApplicable")</f>
        <v>NotApplicable</v>
      </c>
      <c r="U155" s="27" t="s">
        <v>1750</v>
      </c>
      <c r="V155" s="27" t="b">
        <f>ISNUMBER(SEARCH(",",F155))</f>
        <v>0</v>
      </c>
    </row>
    <row r="156" spans="1:22" ht="30" x14ac:dyDescent="0.25">
      <c r="A156" s="27" t="str">
        <f>IF(ISBLANK(N156)=TRUE,"Pending","Done")</f>
        <v>Done</v>
      </c>
      <c r="B156" s="27" t="s">
        <v>117</v>
      </c>
      <c r="C156" s="27">
        <v>66</v>
      </c>
      <c r="D156" s="27" t="str">
        <f>SUBSTITUTE(TRIM(RIGHT(SUBSTITUTE(IF(RIGHT(B156,1)="/",LEFT(B156,LEN(B156)-1),B156),"/",REPT(" ",LEN(B156))),LEN(B156))),"-"," ")</f>
        <v>110221 a_ruthless_work_environment.html</v>
      </c>
      <c r="E156" s="27" t="s">
        <v>850</v>
      </c>
      <c r="F156" s="27" t="s">
        <v>241</v>
      </c>
      <c r="G156" s="27" t="s">
        <v>154</v>
      </c>
      <c r="H156" s="27" t="s">
        <v>2423</v>
      </c>
      <c r="I156" s="27" t="s">
        <v>2422</v>
      </c>
      <c r="J156" s="27" t="s">
        <v>1750</v>
      </c>
      <c r="K156" s="27" t="s">
        <v>1750</v>
      </c>
      <c r="L156" s="27" t="s">
        <v>449</v>
      </c>
      <c r="M156" s="27" t="s">
        <v>645</v>
      </c>
      <c r="N156" s="27" t="s">
        <v>65</v>
      </c>
      <c r="O156" s="27">
        <v>4</v>
      </c>
      <c r="P156" s="27" t="s">
        <v>567</v>
      </c>
      <c r="Q156" s="27" t="str" cm="1">
        <f t="array" ref="Q156">_xlfn.REGEXEXTRACT(B156,"(?&lt;=//)[^/]+")</f>
        <v>m.hqporner.com</v>
      </c>
      <c r="R156" s="27" t="s">
        <v>685</v>
      </c>
      <c r="S156" s="27" t="s">
        <v>1750</v>
      </c>
      <c r="T156" s="27" t="str" cm="1">
        <f t="array" ref="T156">IF(S156&lt;&gt;"NotApplicable",_xlfn.REGEXEXTRACT(S156,"\d+(?=p)"),"NotApplicable")</f>
        <v>NotApplicable</v>
      </c>
      <c r="U156" s="27" t="s">
        <v>1750</v>
      </c>
      <c r="V156" s="27" t="b">
        <f>ISNUMBER(SEARCH(",",F156))</f>
        <v>0</v>
      </c>
    </row>
    <row r="157" spans="1:22" x14ac:dyDescent="0.25">
      <c r="A157" s="27" t="str">
        <f>IF(ISBLANK(N157)=TRUE,"Pending","Done")</f>
        <v>Done</v>
      </c>
      <c r="B157" s="27" t="s">
        <v>2475</v>
      </c>
      <c r="C157" s="27">
        <v>35</v>
      </c>
      <c r="D157" s="27" t="str">
        <f>SUBSTITUTE(TRIM(RIGHT(SUBSTITUTE(IF(RIGHT(B157,1)="/",LEFT(B157,LEN(B157)-1),B157),"/",REPT(" ",LEN(B157))),LEN(B157))),"-"," ")</f>
        <v xml:space="preserve"> 155978534_456239968</v>
      </c>
      <c r="E157" s="27" t="s">
        <v>152</v>
      </c>
      <c r="F157" s="27" t="s">
        <v>172</v>
      </c>
      <c r="G157" s="27" t="s">
        <v>154</v>
      </c>
      <c r="H157" s="27" t="s">
        <v>2473</v>
      </c>
      <c r="I157" s="27" t="s">
        <v>2474</v>
      </c>
      <c r="J157" s="27" t="s">
        <v>1750</v>
      </c>
      <c r="K157" s="27" t="s">
        <v>1750</v>
      </c>
      <c r="L157" s="27" t="s">
        <v>812</v>
      </c>
      <c r="M157" s="27" t="s">
        <v>403</v>
      </c>
      <c r="N157" s="27" t="s">
        <v>65</v>
      </c>
      <c r="O157" s="27">
        <v>4</v>
      </c>
      <c r="P157" s="27" t="s">
        <v>173</v>
      </c>
      <c r="Q157" s="27" t="str" cm="1">
        <f t="array" ref="Q157">_xlfn.REGEXEXTRACT(B157,"(?&lt;=//)[^/]+")</f>
        <v>ukdevilz.com</v>
      </c>
      <c r="R157" s="27" t="s">
        <v>685</v>
      </c>
      <c r="S157" s="27" t="s">
        <v>1750</v>
      </c>
      <c r="T157" s="27" t="str" cm="1">
        <f t="array" ref="T157">IF(S157&lt;&gt;"NotApplicable",_xlfn.REGEXEXTRACT(S157,"\d+(?=p)"),"NotApplicable")</f>
        <v>NotApplicable</v>
      </c>
      <c r="U157" s="27" t="s">
        <v>1750</v>
      </c>
      <c r="V157" s="27" t="b">
        <f>ISNUMBER(SEARCH(",",F157))</f>
        <v>0</v>
      </c>
    </row>
    <row r="158" spans="1:22" ht="30" x14ac:dyDescent="0.25">
      <c r="A158" s="27" t="str">
        <f>IF(ISBLANK(N158)=TRUE,"Pending","Done")</f>
        <v>Done</v>
      </c>
      <c r="B158" s="27" t="s">
        <v>2476</v>
      </c>
      <c r="C158" s="27">
        <v>11</v>
      </c>
      <c r="D158" s="27" t="str">
        <f>SUBSTITUTE(TRIM(RIGHT(SUBSTITUTE(IF(RIGHT(B158,1)="/",LEFT(B158,LEN(B158)-1),B158),"/",REPT(" ",LEN(B158))),LEN(B158))),"-"," ")</f>
        <v>view_video.php?viewkey=ph6064cff14a9ce</v>
      </c>
      <c r="E158" s="27" t="s">
        <v>142</v>
      </c>
      <c r="F158" s="27" t="s">
        <v>77</v>
      </c>
      <c r="G158" s="27" t="s">
        <v>154</v>
      </c>
      <c r="H158" s="27" t="s">
        <v>2477</v>
      </c>
      <c r="I158" s="27" t="s">
        <v>2477</v>
      </c>
      <c r="J158" s="27" t="s">
        <v>1750</v>
      </c>
      <c r="K158" s="27" t="s">
        <v>1750</v>
      </c>
      <c r="L158" s="27" t="s">
        <v>542</v>
      </c>
      <c r="M158" s="27" t="s">
        <v>406</v>
      </c>
      <c r="N158" s="27" t="s">
        <v>65</v>
      </c>
      <c r="O158" s="27">
        <v>4</v>
      </c>
      <c r="P158" s="27" t="s">
        <v>143</v>
      </c>
      <c r="Q158" s="27" t="str" cm="1">
        <f t="array" ref="Q158">_xlfn.REGEXEXTRACT(B158,"(?&lt;=//)[^/]+")</f>
        <v>www.pornhub.org</v>
      </c>
      <c r="R158" s="27" t="s">
        <v>685</v>
      </c>
      <c r="S158" s="27" t="s">
        <v>1750</v>
      </c>
      <c r="T158" s="27" t="str" cm="1">
        <f t="array" ref="T158">IF(S158&lt;&gt;"NotApplicable",_xlfn.REGEXEXTRACT(S158,"\d+(?=p)"),"NotApplicable")</f>
        <v>NotApplicable</v>
      </c>
      <c r="U158" s="27" t="s">
        <v>1750</v>
      </c>
      <c r="V158" s="27" t="b">
        <f>ISNUMBER(SEARCH(",",F158))</f>
        <v>0</v>
      </c>
    </row>
    <row r="159" spans="1:22" ht="30" x14ac:dyDescent="0.25">
      <c r="A159" s="27" t="str">
        <f>IF(ISBLANK(N159)=TRUE,"Pending","Done")</f>
        <v>Done</v>
      </c>
      <c r="B159" s="27" t="s">
        <v>2466</v>
      </c>
      <c r="C159" s="27">
        <v>9</v>
      </c>
      <c r="D159" s="27" t="str">
        <f>SUBSTITUTE(TRIM(RIGHT(SUBSTITUTE(IF(RIGHT(B159,1)="/",LEFT(B159,LEN(B159)-1),B159),"/",REPT(" ",LEN(B159))),LEN(B159))),"-"," ")</f>
        <v>maddy oreilly first we play</v>
      </c>
      <c r="E159" s="27" t="s">
        <v>187</v>
      </c>
      <c r="F159" s="27" t="s">
        <v>855</v>
      </c>
      <c r="G159" s="27" t="s">
        <v>155</v>
      </c>
      <c r="H159" s="27" t="s">
        <v>2465</v>
      </c>
      <c r="I159" s="27" t="s">
        <v>2467</v>
      </c>
      <c r="J159" s="27" t="s">
        <v>1750</v>
      </c>
      <c r="K159" s="27" t="s">
        <v>1750</v>
      </c>
      <c r="L159" s="27" t="s">
        <v>2469</v>
      </c>
      <c r="M159" s="27" t="s">
        <v>710</v>
      </c>
      <c r="N159" s="27" t="s">
        <v>65</v>
      </c>
      <c r="O159" s="27">
        <v>4</v>
      </c>
      <c r="P159" s="27" t="s">
        <v>2468</v>
      </c>
      <c r="Q159" s="27" t="str" cm="1">
        <f t="array" ref="Q159">_xlfn.REGEXEXTRACT(B159,"(?&lt;=//)[^/]+")</f>
        <v>www.porntrex.com</v>
      </c>
      <c r="R159" s="27" t="s">
        <v>685</v>
      </c>
      <c r="S159" s="27" t="s">
        <v>1750</v>
      </c>
      <c r="T159" s="27" t="str" cm="1">
        <f t="array" ref="T159">IF(S159&lt;&gt;"NotApplicable",_xlfn.REGEXEXTRACT(S159,"\d+(?=p)"),"NotApplicable")</f>
        <v>NotApplicable</v>
      </c>
      <c r="U159" s="27" t="s">
        <v>1750</v>
      </c>
      <c r="V159" s="27" t="b">
        <f>ISNUMBER(SEARCH(",",F159))</f>
        <v>0</v>
      </c>
    </row>
    <row r="160" spans="1:22" ht="30" x14ac:dyDescent="0.25">
      <c r="A160" s="27" t="str">
        <f>IF(ISBLANK(N160)=TRUE,"Pending","Done")</f>
        <v>Done</v>
      </c>
      <c r="B160" s="27" t="s">
        <v>6</v>
      </c>
      <c r="C160" s="27">
        <v>52</v>
      </c>
      <c r="D160" s="27" t="str">
        <f>SUBSTITUTE(TRIM(RIGHT(SUBSTITUTE(IF(RIGHT(B160,1)="/",LEFT(B160,LEN(B160)-1),B160),"/",REPT(" ",LEN(B160))),LEN(B160))),"-"," ")</f>
        <v>whore+bdsm</v>
      </c>
      <c r="E160" s="27" t="s">
        <v>146</v>
      </c>
      <c r="F160" s="27" t="s">
        <v>1858</v>
      </c>
      <c r="G160" s="27" t="s">
        <v>70</v>
      </c>
      <c r="H160" s="27" t="s">
        <v>1750</v>
      </c>
      <c r="I160" s="27" t="s">
        <v>2442</v>
      </c>
      <c r="J160" s="27" t="s">
        <v>1750</v>
      </c>
      <c r="K160" s="27" t="s">
        <v>1750</v>
      </c>
      <c r="L160" s="27" t="s">
        <v>581</v>
      </c>
      <c r="M160" s="27" t="s">
        <v>611</v>
      </c>
      <c r="N160" s="27" t="s">
        <v>65</v>
      </c>
      <c r="O160" s="27">
        <v>4</v>
      </c>
      <c r="P160" s="27" t="s">
        <v>213</v>
      </c>
      <c r="Q160" s="27" t="str" cm="1">
        <f t="array" ref="Q160">_xlfn.REGEXEXTRACT(B160,"(?&lt;=//)[^/]+")</f>
        <v>spankbang.party</v>
      </c>
      <c r="R160" s="27" t="s">
        <v>685</v>
      </c>
      <c r="S160" s="27" t="s">
        <v>1750</v>
      </c>
      <c r="T160" s="27" t="str" cm="1">
        <f t="array" ref="T160">IF(S160&lt;&gt;"NotApplicable",_xlfn.REGEXEXTRACT(S160,"\d+(?=p)"),"NotApplicable")</f>
        <v>NotApplicable</v>
      </c>
      <c r="U160" s="27" t="s">
        <v>1750</v>
      </c>
      <c r="V160" s="27" t="b">
        <f>ISNUMBER(SEARCH(",",F160))</f>
        <v>0</v>
      </c>
    </row>
    <row r="161" spans="1:22" ht="30" x14ac:dyDescent="0.25">
      <c r="A161" s="27" t="str">
        <f>IF(ISBLANK(N161)=TRUE,"Pending","Done")</f>
        <v>Done</v>
      </c>
      <c r="B161" s="27" t="s">
        <v>133</v>
      </c>
      <c r="C161" s="27">
        <v>14</v>
      </c>
      <c r="D161" s="27" t="str">
        <f>SUBSTITUTE(TRIM(RIGHT(SUBSTITUTE(IF(RIGHT(B161,1)="/",LEFT(B161,LEN(B161)-1),B161),"/",REPT(" ",LEN(B161))),LEN(B161))),"-"," ")</f>
        <v>dungeoncorp katie kush bondage freak 1</v>
      </c>
      <c r="E161" s="27" t="s">
        <v>146</v>
      </c>
      <c r="F161" s="27" t="s">
        <v>145</v>
      </c>
      <c r="G161" s="27" t="s">
        <v>70</v>
      </c>
      <c r="H161" s="27" t="s">
        <v>1750</v>
      </c>
      <c r="I161" s="27" t="s">
        <v>2501</v>
      </c>
      <c r="J161" s="27" t="s">
        <v>1750</v>
      </c>
      <c r="K161" s="27" t="s">
        <v>1750</v>
      </c>
      <c r="L161" s="27" t="s">
        <v>477</v>
      </c>
      <c r="M161" s="27" t="s">
        <v>405</v>
      </c>
      <c r="N161" s="27" t="s">
        <v>65</v>
      </c>
      <c r="O161" s="27">
        <v>4</v>
      </c>
      <c r="P161" s="27" t="s">
        <v>148</v>
      </c>
      <c r="Q161" s="27" t="str" cm="1">
        <f t="array" ref="Q161">_xlfn.REGEXEXTRACT(B161,"(?&lt;=//)[^/]+")</f>
        <v>heavyfetish.com</v>
      </c>
      <c r="R161" s="27" t="s">
        <v>685</v>
      </c>
      <c r="S161" s="27" t="s">
        <v>1750</v>
      </c>
      <c r="T161" s="27" t="str" cm="1">
        <f t="array" ref="T161">IF(S161&lt;&gt;"NotApplicable",_xlfn.REGEXEXTRACT(S161,"\d+(?=p)"),"NotApplicable")</f>
        <v>NotApplicable</v>
      </c>
      <c r="U161" s="27" t="s">
        <v>1750</v>
      </c>
      <c r="V161" s="27" t="b">
        <f>ISNUMBER(SEARCH(",",F161))</f>
        <v>0</v>
      </c>
    </row>
    <row r="162" spans="1:22" ht="30" x14ac:dyDescent="0.25">
      <c r="A162" s="27" t="str">
        <f>IF(ISBLANK(N162)=TRUE,"Pending","Done")</f>
        <v>Done</v>
      </c>
      <c r="B162" s="27" t="s">
        <v>3</v>
      </c>
      <c r="C162" s="27">
        <v>13</v>
      </c>
      <c r="D162" s="27" t="str">
        <f>SUBSTITUTE(TRIM(RIGHT(SUBSTITUTE(IF(RIGHT(B162,1)="/",LEFT(B162,LEN(B162)-1),B162),"/",REPT(" ",LEN(B162))),LEN(B162))),"-"," ")</f>
        <v>dungeoncorp sabrina banks introducing his demons 3</v>
      </c>
      <c r="E162" s="27" t="s">
        <v>146</v>
      </c>
      <c r="F162" s="27" t="s">
        <v>144</v>
      </c>
      <c r="G162" s="27" t="s">
        <v>70</v>
      </c>
      <c r="H162" s="27" t="s">
        <v>1750</v>
      </c>
      <c r="I162" s="27" t="s">
        <v>2502</v>
      </c>
      <c r="J162" s="27" t="s">
        <v>1750</v>
      </c>
      <c r="K162" s="27" t="s">
        <v>1750</v>
      </c>
      <c r="L162" s="27" t="s">
        <v>578</v>
      </c>
      <c r="M162" s="27" t="s">
        <v>181</v>
      </c>
      <c r="N162" s="27" t="s">
        <v>65</v>
      </c>
      <c r="O162" s="27">
        <v>4</v>
      </c>
      <c r="P162" s="27" t="s">
        <v>147</v>
      </c>
      <c r="Q162" s="27" t="str" cm="1">
        <f t="array" ref="Q162">_xlfn.REGEXEXTRACT(B162,"(?&lt;=//)[^/]+")</f>
        <v>heavyfetish.com</v>
      </c>
      <c r="R162" s="27" t="s">
        <v>685</v>
      </c>
      <c r="S162" s="27" t="s">
        <v>1750</v>
      </c>
      <c r="T162" s="27" t="str" cm="1">
        <f t="array" ref="T162">IF(S162&lt;&gt;"NotApplicable",_xlfn.REGEXEXTRACT(S162,"\d+(?=p)"),"NotApplicable")</f>
        <v>NotApplicable</v>
      </c>
      <c r="U162" s="27" t="s">
        <v>1750</v>
      </c>
      <c r="V162" s="27" t="b">
        <f>ISNUMBER(SEARCH(",",F162))</f>
        <v>0</v>
      </c>
    </row>
    <row r="163" spans="1:22" ht="30" x14ac:dyDescent="0.25">
      <c r="A163" s="27" t="str">
        <f>IF(ISBLANK(N163)=TRUE,"Pending","Done")</f>
        <v>Done</v>
      </c>
      <c r="B163" s="27" t="s">
        <v>19</v>
      </c>
      <c r="C163" s="27">
        <v>55</v>
      </c>
      <c r="D163" s="27" t="str">
        <f>SUBSTITUTE(TRIM(RIGHT(SUBSTITUTE(IF(RIGHT(B163,1)="/",LEFT(B163,LEN(B163)-1),B163),"/",REPT(" ",LEN(B163))),LEN(B163))),"-"," ")</f>
        <v>20010110 tyler scot insex</v>
      </c>
      <c r="E163" s="27" t="s">
        <v>74</v>
      </c>
      <c r="F163" s="27" t="s">
        <v>190</v>
      </c>
      <c r="G163" s="27" t="s">
        <v>70</v>
      </c>
      <c r="H163" s="27" t="s">
        <v>1750</v>
      </c>
      <c r="I163" s="27" t="s">
        <v>2321</v>
      </c>
      <c r="J163" s="27" t="s">
        <v>1750</v>
      </c>
      <c r="K163" s="27" t="s">
        <v>1750</v>
      </c>
      <c r="L163" s="27" t="s">
        <v>354</v>
      </c>
      <c r="M163" s="27" t="s">
        <v>398</v>
      </c>
      <c r="N163" s="27" t="s">
        <v>65</v>
      </c>
      <c r="O163" s="27">
        <v>4</v>
      </c>
      <c r="P163" s="27" t="s">
        <v>75</v>
      </c>
      <c r="Q163" s="27" t="str" cm="1">
        <f t="array" ref="Q163">_xlfn.REGEXEXTRACT(B163,"(?&lt;=//)[^/]+")</f>
        <v>bdsmstreak.com</v>
      </c>
      <c r="R163" s="27" t="s">
        <v>685</v>
      </c>
      <c r="S163" s="27" t="s">
        <v>1750</v>
      </c>
      <c r="T163" s="27" t="str" cm="1">
        <f t="array" ref="T163">IF(S163&lt;&gt;"NotApplicable",_xlfn.REGEXEXTRACT(S163,"\d+(?=p)"),"NotApplicable")</f>
        <v>NotApplicable</v>
      </c>
      <c r="U163" s="27" t="s">
        <v>1750</v>
      </c>
      <c r="V163" s="27" t="b">
        <f>ISNUMBER(SEARCH(",",F163))</f>
        <v>0</v>
      </c>
    </row>
    <row r="164" spans="1:22" ht="30" x14ac:dyDescent="0.25">
      <c r="A164" s="27" t="str">
        <f>IF(ISBLANK(N164)=TRUE,"Pending","Done")</f>
        <v>Done</v>
      </c>
      <c r="B164" s="27" t="s">
        <v>46</v>
      </c>
      <c r="C164" s="27">
        <v>46</v>
      </c>
      <c r="D164" s="27" t="str">
        <f>SUBSTITUTE(TRIM(RIGHT(SUBSTITUTE(IF(RIGHT(B164,1)="/",LEFT(B164,LEN(B164)-1),B164),"/",REPT(" ",LEN(B164))),LEN(B164))),"-"," ")</f>
        <v>insex burning bush 313</v>
      </c>
      <c r="E164" s="27" t="s">
        <v>74</v>
      </c>
      <c r="F164" s="27" t="s">
        <v>2325</v>
      </c>
      <c r="G164" s="27" t="s">
        <v>70</v>
      </c>
      <c r="H164" s="27" t="s">
        <v>2446</v>
      </c>
      <c r="I164" s="27" t="s">
        <v>2324</v>
      </c>
      <c r="J164" s="27" t="s">
        <v>1750</v>
      </c>
      <c r="K164" s="27" t="s">
        <v>1750</v>
      </c>
      <c r="L164" s="27" t="s">
        <v>558</v>
      </c>
      <c r="M164" s="27" t="s">
        <v>400</v>
      </c>
      <c r="N164" s="27" t="s">
        <v>65</v>
      </c>
      <c r="O164" s="27">
        <v>4</v>
      </c>
      <c r="P164" s="27" t="s">
        <v>203</v>
      </c>
      <c r="Q164" s="27" t="str" cm="1">
        <f t="array" ref="Q164">_xlfn.REGEXEXTRACT(B164,"(?&lt;=//)[^/]+")</f>
        <v>heavyfetish.com</v>
      </c>
      <c r="R164" s="27" t="s">
        <v>685</v>
      </c>
      <c r="S164" s="27" t="s">
        <v>1750</v>
      </c>
      <c r="T164" s="27" t="str" cm="1">
        <f t="array" ref="T164">IF(S164&lt;&gt;"NotApplicable",_xlfn.REGEXEXTRACT(S164,"\d+(?=p)"),"NotApplicable")</f>
        <v>NotApplicable</v>
      </c>
      <c r="U164" s="27" t="s">
        <v>1750</v>
      </c>
      <c r="V164" s="27" t="b">
        <f>ISNUMBER(SEARCH(",",F164))</f>
        <v>0</v>
      </c>
    </row>
    <row r="165" spans="1:22" ht="30" x14ac:dyDescent="0.25">
      <c r="A165" s="27" t="str">
        <f>IF(ISBLANK(N165)=TRUE,"Pending","Done")</f>
        <v>Done</v>
      </c>
      <c r="B165" s="27" t="s">
        <v>35</v>
      </c>
      <c r="C165" s="27">
        <v>36</v>
      </c>
      <c r="D165" s="27" t="str">
        <f>SUBSTITUTE(TRIM(RIGHT(SUBSTITUTE(IF(RIGHT(B165,1)="/",LEFT(B165,LEN(B165)-1),B165),"/",REPT(" ",LEN(B165))),LEN(B165))),"-"," ")</f>
        <v>wenona gets it hard once again</v>
      </c>
      <c r="E165" s="27" t="s">
        <v>2319</v>
      </c>
      <c r="F165" s="27" t="s">
        <v>85</v>
      </c>
      <c r="G165" s="27" t="s">
        <v>70</v>
      </c>
      <c r="H165" s="27" t="s">
        <v>2511</v>
      </c>
      <c r="I165" s="27" t="s">
        <v>2510</v>
      </c>
      <c r="J165" s="27" t="s">
        <v>1750</v>
      </c>
      <c r="K165" s="27" t="s">
        <v>1750</v>
      </c>
      <c r="L165" s="27" t="s">
        <v>484</v>
      </c>
      <c r="M165" s="27" t="s">
        <v>586</v>
      </c>
      <c r="N165" s="27" t="s">
        <v>65</v>
      </c>
      <c r="O165" s="27">
        <v>4</v>
      </c>
      <c r="P165" s="27" t="s">
        <v>139</v>
      </c>
      <c r="Q165" s="27" t="str" cm="1">
        <f t="array" ref="Q165">_xlfn.REGEXEXTRACT(B165,"(?&lt;=//)[^/]+")</f>
        <v>bdsmstreak.com</v>
      </c>
      <c r="R165" s="27" t="s">
        <v>685</v>
      </c>
      <c r="S165" s="27" t="s">
        <v>1750</v>
      </c>
      <c r="T165" s="27" t="str" cm="1">
        <f t="array" ref="T165">IF(S165&lt;&gt;"NotApplicable",_xlfn.REGEXEXTRACT(S165,"\d+(?=p)"),"NotApplicable")</f>
        <v>NotApplicable</v>
      </c>
      <c r="U165" s="27" t="s">
        <v>1750</v>
      </c>
      <c r="V165" s="27" t="b">
        <f>ISNUMBER(SEARCH(",",F165))</f>
        <v>0</v>
      </c>
    </row>
    <row r="166" spans="1:22" ht="45" x14ac:dyDescent="0.25">
      <c r="A166" s="27" t="str">
        <f>IF(ISBLANK(N166)=TRUE,"Pending","Done")</f>
        <v>Done</v>
      </c>
      <c r="B166" s="27" t="s">
        <v>11</v>
      </c>
      <c r="C166" s="27">
        <v>44</v>
      </c>
      <c r="D166" s="27" t="str">
        <f>SUBSTITUTE(TRIM(RIGHT(SUBSTITUTE(IF(RIGHT(B166,1)="/",LEFT(B166,LEN(B166)-1),B166),"/",REPT(" ",LEN(B166))),LEN(B166))),"-"," ")</f>
        <v>infernal restraints sister dee the fly</v>
      </c>
      <c r="E166" s="27" t="s">
        <v>2318</v>
      </c>
      <c r="F166" s="27" t="s">
        <v>193</v>
      </c>
      <c r="G166" s="27" t="s">
        <v>70</v>
      </c>
      <c r="H166" s="27" t="s">
        <v>2450</v>
      </c>
      <c r="I166" s="27" t="s">
        <v>2451</v>
      </c>
      <c r="J166" s="27" t="s">
        <v>1750</v>
      </c>
      <c r="K166" s="27" t="s">
        <v>1750</v>
      </c>
      <c r="L166" s="27" t="s">
        <v>356</v>
      </c>
      <c r="M166" s="27" t="s">
        <v>609</v>
      </c>
      <c r="N166" s="27" t="s">
        <v>65</v>
      </c>
      <c r="O166" s="27">
        <v>4</v>
      </c>
      <c r="P166" s="27" t="s">
        <v>194</v>
      </c>
      <c r="Q166" s="27" t="str" cm="1">
        <f t="array" ref="Q166">_xlfn.REGEXEXTRACT(B166,"(?&lt;=//)[^/]+")</f>
        <v>heavyfetish.com</v>
      </c>
      <c r="R166" s="27" t="s">
        <v>685</v>
      </c>
      <c r="S166" s="27" t="s">
        <v>1750</v>
      </c>
      <c r="T166" s="27" t="str" cm="1">
        <f t="array" ref="T166">IF(S166&lt;&gt;"NotApplicable",_xlfn.REGEXEXTRACT(S166,"\d+(?=p)"),"NotApplicable")</f>
        <v>NotApplicable</v>
      </c>
      <c r="U166" s="27" t="s">
        <v>1750</v>
      </c>
      <c r="V166" s="27" t="b">
        <f>ISNUMBER(SEARCH(",",F166))</f>
        <v>0</v>
      </c>
    </row>
    <row r="167" spans="1:22" ht="45" x14ac:dyDescent="0.25">
      <c r="A167" s="27" t="str">
        <f>IF(ISBLANK(N167)=TRUE,"Pending","Done")</f>
        <v>Done</v>
      </c>
      <c r="B167" s="27" t="s">
        <v>2444</v>
      </c>
      <c r="C167" s="27">
        <v>49</v>
      </c>
      <c r="D167" s="27" t="str">
        <f>SUBSTITUTE(TRIM(RIGHT(SUBSTITUTE(IF(RIGHT(B167,1)="/",LEFT(B167,LEN(B167)-1),B167),"/",REPT(" ",LEN(B167))),LEN(B167))),"-"," ")</f>
        <v>european import</v>
      </c>
      <c r="E167" s="27" t="s">
        <v>853</v>
      </c>
      <c r="F167" s="27" t="s">
        <v>802</v>
      </c>
      <c r="G167" s="27" t="s">
        <v>70</v>
      </c>
      <c r="H167" s="27" t="s">
        <v>2443</v>
      </c>
      <c r="I167" s="27" t="s">
        <v>2443</v>
      </c>
      <c r="J167" s="27" t="s">
        <v>1750</v>
      </c>
      <c r="K167" s="27" t="s">
        <v>1750</v>
      </c>
      <c r="L167" s="27" t="s">
        <v>804</v>
      </c>
      <c r="M167" s="27" t="s">
        <v>700</v>
      </c>
      <c r="N167" s="27" t="s">
        <v>65</v>
      </c>
      <c r="O167" s="27">
        <v>4</v>
      </c>
      <c r="P167" s="27" t="s">
        <v>805</v>
      </c>
      <c r="Q167" s="27" t="str" cm="1">
        <f t="array" ref="Q167">_xlfn.REGEXEXTRACT(B167,"(?&lt;=//)[^/]+")</f>
        <v>hcbdsm.com</v>
      </c>
      <c r="R167" s="27" t="s">
        <v>685</v>
      </c>
      <c r="S167" s="27" t="s">
        <v>1750</v>
      </c>
      <c r="T167" s="27" t="str" cm="1">
        <f t="array" ref="T167">IF(S167&lt;&gt;"NotApplicable",_xlfn.REGEXEXTRACT(S167,"\d+(?=p)"),"NotApplicable")</f>
        <v>NotApplicable</v>
      </c>
      <c r="U167" s="27" t="s">
        <v>1750</v>
      </c>
      <c r="V167" s="27" t="b">
        <f>ISNUMBER(SEARCH(",",F167))</f>
        <v>0</v>
      </c>
    </row>
    <row r="168" spans="1:22" ht="45" x14ac:dyDescent="0.25">
      <c r="A168" s="27" t="str">
        <f>IF(ISBLANK(N168)=TRUE,"Pending","Done")</f>
        <v>Done</v>
      </c>
      <c r="B168" s="27" t="s">
        <v>690</v>
      </c>
      <c r="C168" s="27">
        <v>48</v>
      </c>
      <c r="D168" s="27" t="str">
        <f>SUBSTITUTE(TRIM(RIGHT(SUBSTITUTE(IF(RIGHT(B168,1)="/",LEFT(B168,LEN(B168)-1),B168),"/",REPT(" ",LEN(B168))),LEN(B168))),"-"," ")</f>
        <v>tara lynn fox mellanie monroe and isis love part 3 of 4 of the december live show</v>
      </c>
      <c r="E168" s="27" t="s">
        <v>853</v>
      </c>
      <c r="F168" s="27" t="s">
        <v>691</v>
      </c>
      <c r="G168" s="27" t="s">
        <v>70</v>
      </c>
      <c r="H168" s="27" t="s">
        <v>2445</v>
      </c>
      <c r="I168" s="27" t="s">
        <v>2445</v>
      </c>
      <c r="J168" s="27" t="s">
        <v>1750</v>
      </c>
      <c r="K168" s="27" t="s">
        <v>1750</v>
      </c>
      <c r="L168" s="27" t="s">
        <v>1721</v>
      </c>
      <c r="M168" s="27" t="s">
        <v>701</v>
      </c>
      <c r="N168" s="27" t="s">
        <v>65</v>
      </c>
      <c r="O168" s="27">
        <v>4</v>
      </c>
      <c r="P168" s="27" t="s">
        <v>801</v>
      </c>
      <c r="Q168" s="27" t="str" cm="1">
        <f t="array" ref="Q168">_xlfn.REGEXEXTRACT(B168,"(?&lt;=//)[^/]+")</f>
        <v>bdsmstreak.com</v>
      </c>
      <c r="R168" s="27" t="s">
        <v>685</v>
      </c>
      <c r="S168" s="27" t="s">
        <v>1750</v>
      </c>
      <c r="T168" s="27" t="str" cm="1">
        <f t="array" ref="T168">IF(S168&lt;&gt;"NotApplicable",_xlfn.REGEXEXTRACT(S168,"\d+(?=p)"),"NotApplicable")</f>
        <v>NotApplicable</v>
      </c>
      <c r="U168" s="27" t="s">
        <v>1750</v>
      </c>
      <c r="V168" s="27" t="b">
        <f>ISNUMBER(SEARCH(",",F168))</f>
        <v>1</v>
      </c>
    </row>
    <row r="169" spans="1:22" ht="30" x14ac:dyDescent="0.25">
      <c r="A169" s="27" t="str">
        <f>IF(ISBLANK(N169)=TRUE,"Pending","Done")</f>
        <v>Done</v>
      </c>
      <c r="B169" s="27" t="s">
        <v>112</v>
      </c>
      <c r="C169" s="27">
        <v>42</v>
      </c>
      <c r="D169" s="27" t="str">
        <f>SUBSTITUTE(TRIM(RIGHT(SUBSTITUTE(IF(RIGHT(B169,1)="/",LEFT(B169,LEN(B169)-1),B169),"/",REPT(" ",LEN(B169))),LEN(B169))),"-"," ")</f>
        <v>petite slut serena blair punished and made to cum in metal bondage</v>
      </c>
      <c r="E169" s="27" t="s">
        <v>853</v>
      </c>
      <c r="F169" s="27" t="s">
        <v>180</v>
      </c>
      <c r="G169" s="27" t="s">
        <v>70</v>
      </c>
      <c r="H169" s="27" t="s">
        <v>2533</v>
      </c>
      <c r="I169" s="27" t="s">
        <v>2533</v>
      </c>
      <c r="J169" s="27" t="s">
        <v>1750</v>
      </c>
      <c r="K169" s="27" t="s">
        <v>1750</v>
      </c>
      <c r="L169" s="27" t="s">
        <v>523</v>
      </c>
      <c r="M169" s="27" t="s">
        <v>718</v>
      </c>
      <c r="N169" s="27" t="s">
        <v>65</v>
      </c>
      <c r="O169" s="27">
        <v>4</v>
      </c>
      <c r="P169" s="27" t="s">
        <v>182</v>
      </c>
      <c r="Q169" s="27" t="str" cm="1">
        <f t="array" ref="Q169">_xlfn.REGEXEXTRACT(B169,"(?&lt;=//)[^/]+")</f>
        <v>bdsmstreak.com</v>
      </c>
      <c r="R169" s="27" t="s">
        <v>685</v>
      </c>
      <c r="S169" s="27" t="s">
        <v>1750</v>
      </c>
      <c r="T169" s="27" t="str" cm="1">
        <f t="array" ref="T169">IF(S169&lt;&gt;"NotApplicable",_xlfn.REGEXEXTRACT(S169,"\d+(?=p)"),"NotApplicable")</f>
        <v>NotApplicable</v>
      </c>
      <c r="U169" s="27" t="s">
        <v>1750</v>
      </c>
      <c r="V169" s="27" t="b">
        <f>ISNUMBER(SEARCH(",",F169))</f>
        <v>0</v>
      </c>
    </row>
    <row r="170" spans="1:22" ht="30" x14ac:dyDescent="0.25">
      <c r="A170" s="27" t="str">
        <f>IF(ISBLANK(N170)=TRUE,"Pending","Done")</f>
        <v>Done</v>
      </c>
      <c r="B170" s="27" t="s">
        <v>115</v>
      </c>
      <c r="C170" s="27">
        <v>27</v>
      </c>
      <c r="D170" s="27" t="str">
        <f>SUBSTITUTE(TRIM(RIGHT(SUBSTITUTE(IF(RIGHT(B170,1)="/",LEFT(B170,LEN(B170)-1),B170),"/",REPT(" ",LEN(B170))),LEN(B170))),"-"," ")</f>
        <v>device bondage isis love sensi pearl 1</v>
      </c>
      <c r="E170" s="27" t="s">
        <v>853</v>
      </c>
      <c r="F170" s="27" t="s">
        <v>334</v>
      </c>
      <c r="G170" s="27" t="s">
        <v>70</v>
      </c>
      <c r="H170" s="27" t="s">
        <v>2535</v>
      </c>
      <c r="I170" s="27" t="s">
        <v>2534</v>
      </c>
      <c r="J170" s="27" t="s">
        <v>1750</v>
      </c>
      <c r="K170" s="27" t="s">
        <v>1750</v>
      </c>
      <c r="L170" s="27" t="s">
        <v>1729</v>
      </c>
      <c r="M170" s="27" t="s">
        <v>404</v>
      </c>
      <c r="N170" s="27" t="s">
        <v>65</v>
      </c>
      <c r="O170" s="27">
        <v>4</v>
      </c>
      <c r="P170" s="27" t="s">
        <v>540</v>
      </c>
      <c r="Q170" s="27" t="str" cm="1">
        <f t="array" ref="Q170">_xlfn.REGEXEXTRACT(B170,"(?&lt;=//)[^/]+")</f>
        <v>heavyfetish.com</v>
      </c>
      <c r="R170" s="27" t="s">
        <v>685</v>
      </c>
      <c r="S170" s="27" t="s">
        <v>1750</v>
      </c>
      <c r="T170" s="27" t="str" cm="1">
        <f t="array" ref="T170">IF(S170&lt;&gt;"NotApplicable",_xlfn.REGEXEXTRACT(S170,"\d+(?=p)"),"NotApplicable")</f>
        <v>NotApplicable</v>
      </c>
      <c r="U170" s="27" t="s">
        <v>1750</v>
      </c>
      <c r="V170" s="27" t="b">
        <f>ISNUMBER(SEARCH(",",F170))</f>
        <v>1</v>
      </c>
    </row>
    <row r="171" spans="1:22" ht="30" x14ac:dyDescent="0.25">
      <c r="A171" s="27" t="str">
        <f>IF(ISBLANK(N171)=TRUE,"Pending","Done")</f>
        <v>Done</v>
      </c>
      <c r="B171" s="27" t="s">
        <v>2537</v>
      </c>
      <c r="C171" s="27">
        <v>44</v>
      </c>
      <c r="D171" s="27" t="str">
        <f>SUBSTITUTE(TRIM(RIGHT(SUBSTITUTE(IF(RIGHT(B171,1)="/",LEFT(B171,LEN(B171)-1),B171),"/",REPT(" ",LEN(B171))),LEN(B171))),"-"," ")</f>
        <v>alexis tae exploring the dark side of porn6</v>
      </c>
      <c r="E171" s="27" t="s">
        <v>853</v>
      </c>
      <c r="F171" s="27" t="s">
        <v>2539</v>
      </c>
      <c r="G171" s="27" t="s">
        <v>70</v>
      </c>
      <c r="H171" s="27" t="s">
        <v>2536</v>
      </c>
      <c r="I171" s="27" t="s">
        <v>2536</v>
      </c>
      <c r="J171" s="27" t="s">
        <v>1750</v>
      </c>
      <c r="K171" s="27" t="s">
        <v>1750</v>
      </c>
      <c r="L171" s="27" t="s">
        <v>2540</v>
      </c>
      <c r="M171" s="27" t="s">
        <v>696</v>
      </c>
      <c r="N171" s="27" t="s">
        <v>65</v>
      </c>
      <c r="O171" s="27">
        <v>4</v>
      </c>
      <c r="P171" s="27" t="s">
        <v>695</v>
      </c>
      <c r="Q171" s="27" t="str" cm="1">
        <f t="array" ref="Q171">_xlfn.REGEXEXTRACT(B171,"(?&lt;=//)[^/]+")</f>
        <v>hcbdsm.com</v>
      </c>
      <c r="R171" s="27" t="s">
        <v>685</v>
      </c>
      <c r="S171" s="27" t="s">
        <v>1750</v>
      </c>
      <c r="T171" s="27" t="str" cm="1">
        <f t="array" ref="T171">IF(S171&lt;&gt;"NotApplicable",_xlfn.REGEXEXTRACT(S171,"\d+(?=p)"),"NotApplicable")</f>
        <v>NotApplicable</v>
      </c>
      <c r="U171" s="27" t="s">
        <v>1750</v>
      </c>
      <c r="V171" s="27" t="b">
        <f>ISNUMBER(SEARCH(",",F171))</f>
        <v>0</v>
      </c>
    </row>
    <row r="172" spans="1:22" ht="30" x14ac:dyDescent="0.25">
      <c r="A172" s="27" t="str">
        <f>IF(ISBLANK(N172)=TRUE,"Pending","Done")</f>
        <v>Done</v>
      </c>
      <c r="B172" s="27" t="s">
        <v>2439</v>
      </c>
      <c r="C172" s="27">
        <v>53</v>
      </c>
      <c r="D172" s="27" t="str">
        <f>SUBSTITUTE(TRIM(RIGHT(SUBSTITUTE(IF(RIGHT(B172,1)="/",LEFT(B172,LEN(B172)-1),B172),"/",REPT(" ",LEN(B172))),LEN(B172))),"-"," ")</f>
        <v>bound and breathless</v>
      </c>
      <c r="E172" s="27" t="s">
        <v>1572</v>
      </c>
      <c r="F172" s="27" t="s">
        <v>443</v>
      </c>
      <c r="G172" s="27" t="s">
        <v>70</v>
      </c>
      <c r="H172" s="27" t="s">
        <v>2438</v>
      </c>
      <c r="I172" s="27" t="s">
        <v>2438</v>
      </c>
      <c r="J172" s="27" t="s">
        <v>1750</v>
      </c>
      <c r="K172" s="27" t="s">
        <v>1750</v>
      </c>
      <c r="L172" s="27" t="s">
        <v>666</v>
      </c>
      <c r="M172" s="27" t="s">
        <v>665</v>
      </c>
      <c r="N172" s="27" t="s">
        <v>65</v>
      </c>
      <c r="O172" s="27">
        <v>4</v>
      </c>
      <c r="P172" s="27" t="s">
        <v>667</v>
      </c>
      <c r="Q172" s="27" t="str" cm="1">
        <f t="array" ref="Q172">_xlfn.REGEXEXTRACT(B172,"(?&lt;=//)[^/]+")</f>
        <v>bdsmstreak.com</v>
      </c>
      <c r="R172" s="27" t="s">
        <v>685</v>
      </c>
      <c r="S172" s="27" t="s">
        <v>1750</v>
      </c>
      <c r="T172" s="27" t="str" cm="1">
        <f t="array" ref="T172">IF(S172&lt;&gt;"NotApplicable",_xlfn.REGEXEXTRACT(S172,"\d+(?=p)"),"NotApplicable")</f>
        <v>NotApplicable</v>
      </c>
      <c r="U172" s="27" t="s">
        <v>1750</v>
      </c>
      <c r="V172" s="27" t="b">
        <f>ISNUMBER(SEARCH(",",F172))</f>
        <v>0</v>
      </c>
    </row>
    <row r="173" spans="1:22" ht="45" x14ac:dyDescent="0.25">
      <c r="A173" s="27" t="str">
        <f>IF(ISBLANK(N173)=TRUE,"Pending","Done")</f>
        <v>Done</v>
      </c>
      <c r="B173" s="27" t="s">
        <v>25</v>
      </c>
      <c r="C173" s="27">
        <v>45</v>
      </c>
      <c r="D173" s="27" t="str">
        <f>SUBSTITUTE(TRIM(RIGHT(SUBSTITUTE(IF(RIGHT(B173,1)="/",LEFT(B173,LEN(B173)-1),B173),"/",REPT(" ",LEN(B173))),LEN(B173))),"-"," ")</f>
        <v>hogtied kendra james</v>
      </c>
      <c r="E173" s="27" t="s">
        <v>849</v>
      </c>
      <c r="F173" s="27" t="s">
        <v>199</v>
      </c>
      <c r="G173" s="27" t="s">
        <v>70</v>
      </c>
      <c r="H173" s="27" t="s">
        <v>2449</v>
      </c>
      <c r="I173" s="27" t="s">
        <v>2448</v>
      </c>
      <c r="J173" s="27" t="s">
        <v>1750</v>
      </c>
      <c r="K173" s="27" t="s">
        <v>1750</v>
      </c>
      <c r="L173" s="27" t="s">
        <v>496</v>
      </c>
      <c r="M173" s="27" t="s">
        <v>401</v>
      </c>
      <c r="N173" s="27" t="s">
        <v>65</v>
      </c>
      <c r="O173" s="27">
        <v>4</v>
      </c>
      <c r="P173" s="27" t="s">
        <v>200</v>
      </c>
      <c r="Q173" s="27" t="str" cm="1">
        <f t="array" ref="Q173">_xlfn.REGEXEXTRACT(B173,"(?&lt;=//)[^/]+")</f>
        <v>heavyfetish.com</v>
      </c>
      <c r="R173" s="27" t="s">
        <v>685</v>
      </c>
      <c r="S173" s="27" t="s">
        <v>1750</v>
      </c>
      <c r="T173" s="27" t="str" cm="1">
        <f t="array" ref="T173">IF(S173&lt;&gt;"NotApplicable",_xlfn.REGEXEXTRACT(S173,"\d+(?=p)"),"NotApplicable")</f>
        <v>NotApplicable</v>
      </c>
      <c r="U173" s="27" t="s">
        <v>1750</v>
      </c>
      <c r="V173" s="27" t="b">
        <f>ISNUMBER(SEARCH(",",F173))</f>
        <v>0</v>
      </c>
    </row>
    <row r="174" spans="1:22" ht="30" x14ac:dyDescent="0.25">
      <c r="A174" s="27" t="str">
        <f>IF(ISBLANK(N174)=TRUE,"Pending","Done")</f>
        <v>Done</v>
      </c>
      <c r="B174" s="27" t="s">
        <v>12</v>
      </c>
      <c r="C174" s="27">
        <v>53</v>
      </c>
      <c r="D174" s="27" t="str">
        <f>SUBSTITUTE(TRIM(RIGHT(SUBSTITUTE(IF(RIGHT(B174,1)="/",LEFT(B174,LEN(B174)-1),B174),"/",REPT(" ",LEN(B174))),LEN(B174))),"-"," ")</f>
        <v>hogtied yhivi</v>
      </c>
      <c r="E174" s="27" t="s">
        <v>849</v>
      </c>
      <c r="F174" s="27" t="s">
        <v>216</v>
      </c>
      <c r="G174" s="27" t="s">
        <v>70</v>
      </c>
      <c r="H174" s="27" t="s">
        <v>2431</v>
      </c>
      <c r="I174" s="27" t="s">
        <v>2430</v>
      </c>
      <c r="J174" s="27" t="s">
        <v>1750</v>
      </c>
      <c r="K174" s="27" t="s">
        <v>1750</v>
      </c>
      <c r="L174" s="27" t="s">
        <v>355</v>
      </c>
      <c r="M174" s="27" t="s">
        <v>624</v>
      </c>
      <c r="N174" s="27" t="s">
        <v>65</v>
      </c>
      <c r="O174" s="27">
        <v>4</v>
      </c>
      <c r="P174" s="27" t="s">
        <v>217</v>
      </c>
      <c r="Q174" s="27" t="str" cm="1">
        <f t="array" ref="Q174">_xlfn.REGEXEXTRACT(B174,"(?&lt;=//)[^/]+")</f>
        <v>heavyfetish.com</v>
      </c>
      <c r="R174" s="27" t="s">
        <v>685</v>
      </c>
      <c r="S174" s="27" t="s">
        <v>1750</v>
      </c>
      <c r="T174" s="27" t="str" cm="1">
        <f t="array" ref="T174">IF(S174&lt;&gt;"NotApplicable",_xlfn.REGEXEXTRACT(S174,"\d+(?=p)"),"NotApplicable")</f>
        <v>NotApplicable</v>
      </c>
      <c r="U174" s="27" t="s">
        <v>1750</v>
      </c>
      <c r="V174" s="27" t="b">
        <f>ISNUMBER(SEARCH(",",F174))</f>
        <v>0</v>
      </c>
    </row>
    <row r="175" spans="1:22" ht="45" x14ac:dyDescent="0.25">
      <c r="A175" s="27" t="str">
        <f>IF(ISBLANK(N175)=TRUE,"Pending","Done")</f>
        <v>Done</v>
      </c>
      <c r="B175" s="27" t="s">
        <v>1900</v>
      </c>
      <c r="C175" s="27">
        <v>17</v>
      </c>
      <c r="D175" s="27" t="str">
        <f>SUBSTITUTE(TRIM(RIGHT(SUBSTITUTE(IF(RIGHT(B175,1)="/",LEFT(B175,LEN(B175)-1),B175),"/",REPT(" ",LEN(B175))),LEN(B175))),"-"," ")</f>
        <v>long legs and huge nipples suffers foot caning finger fucking til squirting</v>
      </c>
      <c r="E175" s="27" t="s">
        <v>849</v>
      </c>
      <c r="F175" s="27" t="s">
        <v>1615</v>
      </c>
      <c r="G175" s="27" t="s">
        <v>70</v>
      </c>
      <c r="H175" s="27" t="s">
        <v>2161</v>
      </c>
      <c r="I175" s="27" t="s">
        <v>2162</v>
      </c>
      <c r="J175" s="27">
        <v>8</v>
      </c>
      <c r="K175" s="27" t="s">
        <v>1901</v>
      </c>
      <c r="L175" s="27" t="s">
        <v>2163</v>
      </c>
      <c r="M175" s="27" t="s">
        <v>2152</v>
      </c>
      <c r="N175" s="27" t="s">
        <v>65</v>
      </c>
      <c r="O175" s="27">
        <v>4</v>
      </c>
      <c r="P175" s="27" t="s">
        <v>2164</v>
      </c>
      <c r="Q175" s="27" t="str" cm="1">
        <f t="array" ref="Q175">_xlfn.REGEXEXTRACT(B175,"(?&lt;=//)[^/]+")</f>
        <v>bdsmstreak.com</v>
      </c>
      <c r="R175" s="27" t="s">
        <v>685</v>
      </c>
      <c r="S175" s="27" t="s">
        <v>1750</v>
      </c>
      <c r="T175" s="27" t="str" cm="1">
        <f t="array" ref="T175">IF(S175&lt;&gt;"NotApplicable",_xlfn.REGEXEXTRACT(S175,"\d+(?=p)"),"NotApplicable")</f>
        <v>NotApplicable</v>
      </c>
      <c r="U175" s="27" t="s">
        <v>1750</v>
      </c>
      <c r="V175" s="27" t="b">
        <f>ISNUMBER(SEARCH(",",F175))</f>
        <v>0</v>
      </c>
    </row>
    <row r="176" spans="1:22" ht="30" x14ac:dyDescent="0.25">
      <c r="A176" s="27" t="str">
        <f>IF(ISBLANK(N176)=TRUE,"Pending","Done")</f>
        <v>Done</v>
      </c>
      <c r="B176" s="27" t="s">
        <v>789</v>
      </c>
      <c r="C176" s="27">
        <v>45</v>
      </c>
      <c r="D176" s="27" t="str">
        <f>SUBSTITUTE(TRIM(RIGHT(SUBSTITUTE(IF(RIGHT(B176,1)="/",LEFT(B176,LEN(B176)-1),B176),"/",REPT(" ",LEN(B176))),LEN(B176))),"-"," ")</f>
        <v>april olsen helplessly bound</v>
      </c>
      <c r="E176" s="27" t="s">
        <v>842</v>
      </c>
      <c r="F176" s="27" t="s">
        <v>671</v>
      </c>
      <c r="G176" s="27" t="s">
        <v>70</v>
      </c>
      <c r="H176" s="27" t="s">
        <v>2447</v>
      </c>
      <c r="I176" s="27" t="s">
        <v>2447</v>
      </c>
      <c r="J176" s="27" t="s">
        <v>1750</v>
      </c>
      <c r="K176" s="27" t="s">
        <v>1750</v>
      </c>
      <c r="L176" s="27" t="s">
        <v>787</v>
      </c>
      <c r="M176" s="27" t="s">
        <v>788</v>
      </c>
      <c r="N176" s="27" t="s">
        <v>65</v>
      </c>
      <c r="O176" s="27">
        <v>4</v>
      </c>
      <c r="P176" s="27" t="s">
        <v>786</v>
      </c>
      <c r="Q176" s="27" t="str" cm="1">
        <f t="array" ref="Q176">_xlfn.REGEXEXTRACT(B176,"(?&lt;=//)[^/]+")</f>
        <v>bdsmmansion.com</v>
      </c>
      <c r="R176" s="27" t="s">
        <v>685</v>
      </c>
      <c r="S176" s="27" t="s">
        <v>1750</v>
      </c>
      <c r="T176" s="27" t="str" cm="1">
        <f t="array" ref="T176">IF(S176&lt;&gt;"NotApplicable",_xlfn.REGEXEXTRACT(S176,"\d+(?=p)"),"NotApplicable")</f>
        <v>NotApplicable</v>
      </c>
      <c r="U176" s="27" t="s">
        <v>1750</v>
      </c>
      <c r="V176" s="27" t="b">
        <f>ISNUMBER(SEARCH(",",F176))</f>
        <v>0</v>
      </c>
    </row>
    <row r="177" spans="1:22" ht="30" x14ac:dyDescent="0.25">
      <c r="A177" s="27" t="str">
        <f>IF(ISBLANK(N177)=TRUE,"Pending","Done")</f>
        <v>Done</v>
      </c>
      <c r="B177" s="27" t="s">
        <v>1723</v>
      </c>
      <c r="C177" s="27">
        <v>60</v>
      </c>
      <c r="D177" s="27" t="str">
        <f>SUBSTITUTE(TRIM(RIGHT(SUBSTITUTE(IF(RIGHT(B177,1)="/",LEFT(B177,LEN(B177)-1),B177),"/",REPT(" ",LEN(B177))),LEN(B177))),"-"," ")</f>
        <v>sex and submission feeding the gimp2</v>
      </c>
      <c r="E177" s="27" t="s">
        <v>845</v>
      </c>
      <c r="F177" s="27" t="s">
        <v>331</v>
      </c>
      <c r="G177" s="27" t="s">
        <v>70</v>
      </c>
      <c r="H177" s="27" t="s">
        <v>2425</v>
      </c>
      <c r="I177" s="27" t="s">
        <v>2424</v>
      </c>
      <c r="J177" s="27" t="s">
        <v>1750</v>
      </c>
      <c r="K177" s="27" t="s">
        <v>1750</v>
      </c>
      <c r="L177" s="27" t="s">
        <v>1724</v>
      </c>
      <c r="M177" s="27" t="s">
        <v>395</v>
      </c>
      <c r="N177" s="27" t="s">
        <v>65</v>
      </c>
      <c r="O177" s="27">
        <v>4</v>
      </c>
      <c r="P177" s="27" t="s">
        <v>519</v>
      </c>
      <c r="Q177" s="27" t="str" cm="1">
        <f t="array" ref="Q177">_xlfn.REGEXEXTRACT(B177,"(?&lt;=//)[^/]+")</f>
        <v>hcbdsm.com</v>
      </c>
      <c r="R177" s="27" t="s">
        <v>685</v>
      </c>
      <c r="S177" s="27" t="s">
        <v>1750</v>
      </c>
      <c r="T177" s="27" t="str" cm="1">
        <f t="array" ref="T177">IF(S177&lt;&gt;"NotApplicable",_xlfn.REGEXEXTRACT(S177,"\d+(?=p)"),"NotApplicable")</f>
        <v>NotApplicable</v>
      </c>
      <c r="U177" s="27" t="s">
        <v>1750</v>
      </c>
      <c r="V177" s="27" t="b">
        <f>ISNUMBER(SEARCH(",",F177))</f>
        <v>1</v>
      </c>
    </row>
    <row r="178" spans="1:22" ht="30" x14ac:dyDescent="0.25">
      <c r="A178" s="27" t="str">
        <f>IF(ISBLANK(N178)=TRUE,"Pending","Done")</f>
        <v>Done</v>
      </c>
      <c r="B178" s="27" t="s">
        <v>114</v>
      </c>
      <c r="C178" s="27">
        <v>25</v>
      </c>
      <c r="D178" s="27" t="str">
        <f>SUBSTITUTE(TRIM(RIGHT(SUBSTITUTE(IF(RIGHT(B178,1)="/",LEFT(B178,LEN(B178)-1),B178),"/",REPT(" ",LEN(B178))),LEN(B178))),"-"," ")</f>
        <v>device bondage isis love sensi pearl</v>
      </c>
      <c r="E178" s="27" t="s">
        <v>853</v>
      </c>
      <c r="F178" s="27" t="s">
        <v>334</v>
      </c>
      <c r="G178" s="27" t="s">
        <v>71</v>
      </c>
      <c r="H178" s="27" t="s">
        <v>2542</v>
      </c>
      <c r="I178" s="27" t="s">
        <v>2541</v>
      </c>
      <c r="J178" s="27" t="s">
        <v>1750</v>
      </c>
      <c r="K178" s="27" t="s">
        <v>1750</v>
      </c>
      <c r="L178" s="27" t="s">
        <v>2543</v>
      </c>
      <c r="M178" s="27" t="s">
        <v>642</v>
      </c>
      <c r="N178" s="27" t="s">
        <v>65</v>
      </c>
      <c r="O178" s="27">
        <v>3</v>
      </c>
      <c r="P178" s="27" t="s">
        <v>508</v>
      </c>
      <c r="Q178" s="27" t="str" cm="1">
        <f t="array" ref="Q178">_xlfn.REGEXEXTRACT(B178,"(?&lt;=//)[^/]+")</f>
        <v>heavyfetish.com</v>
      </c>
      <c r="R178" s="27" t="s">
        <v>685</v>
      </c>
      <c r="S178" s="27" t="s">
        <v>1750</v>
      </c>
      <c r="T178" s="27" t="str" cm="1">
        <f t="array" ref="T178">IF(S178&lt;&gt;"NotApplicable",_xlfn.REGEXEXTRACT(S178,"\d+(?=p)"),"NotApplicable")</f>
        <v>NotApplicable</v>
      </c>
      <c r="U178" s="27" t="s">
        <v>1750</v>
      </c>
      <c r="V178" s="27" t="b">
        <f>ISNUMBER(SEARCH(",",F178))</f>
        <v>1</v>
      </c>
    </row>
    <row r="179" spans="1:22" ht="30" x14ac:dyDescent="0.25">
      <c r="A179" s="27" t="str">
        <f>IF(ISBLANK(N179)=TRUE,"Pending","Done")</f>
        <v>Done</v>
      </c>
      <c r="B179" s="27" t="s">
        <v>1542</v>
      </c>
      <c r="C179" s="27">
        <v>15</v>
      </c>
      <c r="D179" s="27" t="str">
        <f>SUBSTITUTE(TRIM(RIGHT(SUBSTITUTE(IF(RIGHT(B179,1)="/",LEFT(B179,LEN(B179)-1),B179),"/",REPT(" ",LEN(B179))),LEN(B179))),"-"," ")</f>
        <v>7321</v>
      </c>
      <c r="E179" s="27" t="s">
        <v>851</v>
      </c>
      <c r="F179" s="27" t="s">
        <v>1576</v>
      </c>
      <c r="G179" s="27" t="s">
        <v>71</v>
      </c>
      <c r="H179" s="27" t="s">
        <v>2158</v>
      </c>
      <c r="I179" s="27" t="s">
        <v>2158</v>
      </c>
      <c r="J179" s="27" t="s">
        <v>1750</v>
      </c>
      <c r="K179" s="27" t="s">
        <v>1750</v>
      </c>
      <c r="L179" s="27" t="s">
        <v>2159</v>
      </c>
      <c r="M179" s="27" t="s">
        <v>2160</v>
      </c>
      <c r="N179" s="27" t="s">
        <v>65</v>
      </c>
      <c r="O179" s="27">
        <v>3</v>
      </c>
      <c r="P179" s="27" t="s">
        <v>2165</v>
      </c>
      <c r="Q179" s="27" t="str" cm="1">
        <f t="array" ref="Q179">_xlfn.REGEXEXTRACT(B179,"(?&lt;=//)[^/]+")</f>
        <v>www.kink.com</v>
      </c>
      <c r="R179" s="27" t="s">
        <v>685</v>
      </c>
      <c r="S179" s="27" t="s">
        <v>1750</v>
      </c>
      <c r="T179" s="27" t="str" cm="1">
        <f t="array" ref="T179">IF(S179&lt;&gt;"NotApplicable",_xlfn.REGEXEXTRACT(S179,"\d+(?=p)"),"NotApplicable")</f>
        <v>NotApplicable</v>
      </c>
      <c r="U179" s="27" t="s">
        <v>1750</v>
      </c>
      <c r="V179" s="27" t="b">
        <f>ISNUMBER(SEARCH(",",F179))</f>
        <v>0</v>
      </c>
    </row>
    <row r="180" spans="1:22" ht="30" x14ac:dyDescent="0.25">
      <c r="A180" s="27" t="str">
        <f>IF(ISBLANK(N180)=TRUE,"Pending","Done")</f>
        <v>Done</v>
      </c>
      <c r="B180" s="27" t="s">
        <v>261</v>
      </c>
      <c r="C180" s="27">
        <v>106</v>
      </c>
      <c r="D180" s="27" t="str">
        <f>SUBSTITUTE(TRIM(RIGHT(SUBSTITUTE(IF(RIGHT(B180,1)="/",LEFT(B180,LEN(B180)-1),B180),"/",REPT(" ",LEN(B180))),LEN(B180))),"-"," ")</f>
        <v>mxpa 012 japanese strapon femdom</v>
      </c>
      <c r="E180" s="27" t="s">
        <v>1747</v>
      </c>
      <c r="F180" s="27" t="s">
        <v>1749</v>
      </c>
      <c r="G180" s="27" t="s">
        <v>81</v>
      </c>
      <c r="H180" s="27" t="s">
        <v>2562</v>
      </c>
      <c r="I180" s="27" t="s">
        <v>2561</v>
      </c>
      <c r="J180" s="27" t="s">
        <v>1750</v>
      </c>
      <c r="K180" s="27" t="s">
        <v>1750</v>
      </c>
      <c r="L180" s="27" t="s">
        <v>659</v>
      </c>
      <c r="M180" s="27" t="s">
        <v>617</v>
      </c>
      <c r="N180" s="27" t="s">
        <v>250</v>
      </c>
      <c r="O180" s="27">
        <v>3</v>
      </c>
      <c r="P180" s="27" t="s">
        <v>548</v>
      </c>
      <c r="Q180" s="27" t="str" cm="1">
        <f t="array" ref="Q180">_xlfn.REGEXEXTRACT(B180,"(?&lt;=//)[^/]+")</f>
        <v>www.eporner.com</v>
      </c>
      <c r="R180" s="27" t="s">
        <v>685</v>
      </c>
      <c r="S180" s="27" t="s">
        <v>1750</v>
      </c>
      <c r="T180" s="27" t="str" cm="1">
        <f t="array" ref="T180">IF(S180&lt;&gt;"NotApplicable",_xlfn.REGEXEXTRACT(S180,"\d+(?=p)"),"NotApplicable")</f>
        <v>NotApplicable</v>
      </c>
      <c r="U180" s="27" t="s">
        <v>1750</v>
      </c>
      <c r="V180" s="27" t="b">
        <f>ISNUMBER(SEARCH(",",F180))</f>
        <v>0</v>
      </c>
    </row>
    <row r="181" spans="1:22" ht="30" x14ac:dyDescent="0.25">
      <c r="A181" s="27" t="str">
        <f>IF(ISBLANK(N181)=TRUE,"Pending","Done")</f>
        <v>Done</v>
      </c>
      <c r="B181" s="27" t="s">
        <v>2548</v>
      </c>
      <c r="C181" s="27">
        <v>56</v>
      </c>
      <c r="D181" s="27" t="str">
        <f>SUBSTITUTE(TRIM(RIGHT(SUBSTITUTE(IF(RIGHT(B181,1)="/",LEFT(B181,LEN(B181)-1),B181),"/",REPT(" ",LEN(B181))),LEN(B181))),"-"," ")</f>
        <v>basement bitch cuckold2</v>
      </c>
      <c r="E181" s="27" t="s">
        <v>852</v>
      </c>
      <c r="F181" s="27" t="s">
        <v>429</v>
      </c>
      <c r="G181" s="27" t="s">
        <v>81</v>
      </c>
      <c r="H181" s="27" t="s">
        <v>2547</v>
      </c>
      <c r="I181" s="27" t="s">
        <v>2547</v>
      </c>
      <c r="J181" s="27" t="s">
        <v>1750</v>
      </c>
      <c r="K181" s="27" t="s">
        <v>1750</v>
      </c>
      <c r="L181" s="27" t="s">
        <v>481</v>
      </c>
      <c r="M181" s="27" t="s">
        <v>438</v>
      </c>
      <c r="N181" s="27" t="s">
        <v>65</v>
      </c>
      <c r="O181" s="27">
        <v>3</v>
      </c>
      <c r="P181" s="27" t="s">
        <v>468</v>
      </c>
      <c r="Q181" s="27" t="str" cm="1">
        <f t="array" ref="Q181">_xlfn.REGEXEXTRACT(B181,"(?&lt;=//)[^/]+")</f>
        <v>hcbdsm.com</v>
      </c>
      <c r="R181" s="27" t="s">
        <v>685</v>
      </c>
      <c r="S181" s="27" t="s">
        <v>1750</v>
      </c>
      <c r="T181" s="27" t="str" cm="1">
        <f t="array" ref="T181">IF(S181&lt;&gt;"NotApplicable",_xlfn.REGEXEXTRACT(S181,"\d+(?=p)"),"NotApplicable")</f>
        <v>NotApplicable</v>
      </c>
      <c r="U181" s="27" t="s">
        <v>1750</v>
      </c>
      <c r="V181" s="27" t="b">
        <f>ISNUMBER(SEARCH(",",F181))</f>
        <v>0</v>
      </c>
    </row>
    <row r="182" spans="1:22" ht="30" x14ac:dyDescent="0.25">
      <c r="A182" s="27" t="str">
        <f>IF(ISBLANK(N182)=TRUE,"Pending","Done")</f>
        <v>Done</v>
      </c>
      <c r="B182" s="27" t="s">
        <v>739</v>
      </c>
      <c r="C182" s="27">
        <v>55</v>
      </c>
      <c r="D182" s="27" t="str">
        <f>SUBSTITUTE(TRIM(RIGHT(SUBSTITUTE(IF(RIGHT(B182,1)="/",LEFT(B182,LEN(B182)-1),B182),"/",REPT(" ",LEN(B182))),LEN(B182))),"-"," ")</f>
        <v>happy birthday felony</v>
      </c>
      <c r="E182" s="27" t="s">
        <v>852</v>
      </c>
      <c r="F182" s="27" t="s">
        <v>734</v>
      </c>
      <c r="G182" s="27" t="s">
        <v>81</v>
      </c>
      <c r="H182" s="27" t="s">
        <v>2549</v>
      </c>
      <c r="I182" s="27" t="s">
        <v>2549</v>
      </c>
      <c r="J182" s="27" t="s">
        <v>1750</v>
      </c>
      <c r="K182" s="27" t="s">
        <v>1750</v>
      </c>
      <c r="L182" s="27" t="s">
        <v>823</v>
      </c>
      <c r="M182" s="27" t="s">
        <v>626</v>
      </c>
      <c r="N182" s="27" t="s">
        <v>65</v>
      </c>
      <c r="O182" s="27">
        <v>3</v>
      </c>
      <c r="P182" s="27" t="s">
        <v>822</v>
      </c>
      <c r="Q182" s="27" t="str" cm="1">
        <f t="array" ref="Q182">_xlfn.REGEXEXTRACT(B182,"(?&lt;=//)[^/]+")</f>
        <v>bdsmmansion.com</v>
      </c>
      <c r="R182" s="27" t="s">
        <v>685</v>
      </c>
      <c r="S182" s="27" t="s">
        <v>1750</v>
      </c>
      <c r="T182" s="27" t="str" cm="1">
        <f t="array" ref="T182">IF(S182&lt;&gt;"NotApplicable",_xlfn.REGEXEXTRACT(S182,"\d+(?=p)"),"NotApplicable")</f>
        <v>NotApplicable</v>
      </c>
      <c r="U182" s="27" t="s">
        <v>1750</v>
      </c>
      <c r="V182" s="27" t="b">
        <f>ISNUMBER(SEARCH(",",F182))</f>
        <v>0</v>
      </c>
    </row>
    <row r="183" spans="1:22" ht="30" x14ac:dyDescent="0.25">
      <c r="A183" s="27" t="str">
        <f>IF(ISBLANK(N183)=TRUE,"Pending","Done")</f>
        <v>Done</v>
      </c>
      <c r="B183" s="27" t="s">
        <v>214</v>
      </c>
      <c r="C183" s="27">
        <v>53</v>
      </c>
      <c r="D183" s="27" t="str">
        <f>SUBSTITUTE(TRIM(RIGHT(SUBSTITUTE(IF(RIGHT(B183,1)="/",LEFT(B183,LEN(B183)-1),B183),"/",REPT(" ",LEN(B183))),LEN(B183))),"-"," ")</f>
        <v>divinebitches ashley fires educating a bitchboy episode 2</v>
      </c>
      <c r="E183" s="27" t="s">
        <v>852</v>
      </c>
      <c r="F183" s="27" t="s">
        <v>215</v>
      </c>
      <c r="G183" s="27" t="s">
        <v>81</v>
      </c>
      <c r="H183" s="27" t="s">
        <v>2551</v>
      </c>
      <c r="I183" s="27" t="s">
        <v>2550</v>
      </c>
      <c r="J183" s="27" t="s">
        <v>1750</v>
      </c>
      <c r="K183" s="27" t="s">
        <v>1750</v>
      </c>
      <c r="L183" s="27" t="s">
        <v>485</v>
      </c>
      <c r="M183" s="27" t="s">
        <v>616</v>
      </c>
      <c r="N183" s="27" t="s">
        <v>65</v>
      </c>
      <c r="O183" s="27">
        <v>3</v>
      </c>
      <c r="P183" s="27" t="s">
        <v>458</v>
      </c>
      <c r="Q183" s="27" t="str" cm="1">
        <f t="array" ref="Q183">_xlfn.REGEXEXTRACT(B183,"(?&lt;=//)[^/]+")</f>
        <v>pervtube.net</v>
      </c>
      <c r="R183" s="27" t="s">
        <v>685</v>
      </c>
      <c r="S183" s="27" t="s">
        <v>1750</v>
      </c>
      <c r="T183" s="27" t="str" cm="1">
        <f t="array" ref="T183">IF(S183&lt;&gt;"NotApplicable",_xlfn.REGEXEXTRACT(S183,"\d+(?=p)"),"NotApplicable")</f>
        <v>NotApplicable</v>
      </c>
      <c r="U183" s="27" t="s">
        <v>1750</v>
      </c>
      <c r="V183" s="27" t="b">
        <f>ISNUMBER(SEARCH(",",F183))</f>
        <v>0</v>
      </c>
    </row>
    <row r="184" spans="1:22" ht="30" x14ac:dyDescent="0.25">
      <c r="A184" s="27" t="str">
        <f>IF(ISBLANK(N184)=TRUE,"Pending","Done")</f>
        <v>Done</v>
      </c>
      <c r="B184" s="27" t="s">
        <v>83</v>
      </c>
      <c r="C184" s="27">
        <v>49</v>
      </c>
      <c r="D184" s="27" t="str">
        <f>SUBSTITUTE(TRIM(RIGHT(SUBSTITUTE(IF(RIGHT(B184,1)="/",LEFT(B184,LEN(B184)-1),B184),"/",REPT(" ",LEN(B184))),LEN(B184))),"-"," ")</f>
        <v>brat princess cuckoldress with chastity lynn</v>
      </c>
      <c r="E184" s="27" t="s">
        <v>852</v>
      </c>
      <c r="F184" s="27" t="s">
        <v>84</v>
      </c>
      <c r="G184" s="27" t="s">
        <v>81</v>
      </c>
      <c r="H184" s="27" t="s">
        <v>2555</v>
      </c>
      <c r="I184" s="27" t="s">
        <v>2555</v>
      </c>
      <c r="J184" s="27" t="s">
        <v>1750</v>
      </c>
      <c r="K184" s="27" t="s">
        <v>1750</v>
      </c>
      <c r="L184" s="27" t="s">
        <v>562</v>
      </c>
      <c r="M184" s="27" t="s">
        <v>394</v>
      </c>
      <c r="N184" s="27" t="s">
        <v>65</v>
      </c>
      <c r="O184" s="27">
        <v>3</v>
      </c>
      <c r="P184" s="27" t="s">
        <v>553</v>
      </c>
      <c r="Q184" s="27" t="str" cm="1">
        <f t="array" ref="Q184">_xlfn.REGEXEXTRACT(B184,"(?&lt;=//)[^/]+")</f>
        <v>www.pornhits.com</v>
      </c>
      <c r="R184" s="27" t="s">
        <v>685</v>
      </c>
      <c r="S184" s="27" t="s">
        <v>1750</v>
      </c>
      <c r="T184" s="27" t="str" cm="1">
        <f t="array" ref="T184">IF(S184&lt;&gt;"NotApplicable",_xlfn.REGEXEXTRACT(S184,"\d+(?=p)"),"NotApplicable")</f>
        <v>NotApplicable</v>
      </c>
      <c r="U184" s="27" t="s">
        <v>1750</v>
      </c>
      <c r="V184" s="27" t="b">
        <f>ISNUMBER(SEARCH(",",F184))</f>
        <v>0</v>
      </c>
    </row>
    <row r="185" spans="1:22" ht="60" x14ac:dyDescent="0.25">
      <c r="A185" s="27" t="str">
        <f>IF(ISBLANK(N185)=TRUE,"Pending","Done")</f>
        <v>Done</v>
      </c>
      <c r="B185" s="27" t="s">
        <v>286</v>
      </c>
      <c r="C185" s="27">
        <v>5</v>
      </c>
      <c r="D185" s="27" t="str">
        <f>SUBSTITUTE(TRIM(RIGHT(SUBSTITUTE(IF(RIGHT(B185,1)="/",LEFT(B185,LEN(B185)-1),B185),"/",REPT(" ",LEN(B185))),LEN(B185))),"-"," ")</f>
        <v>?trx=1227735290aee694b81473a256bea12420712</v>
      </c>
      <c r="E185" s="27" t="s">
        <v>1747</v>
      </c>
      <c r="F185" s="27" t="s">
        <v>1858</v>
      </c>
      <c r="G185" s="27" t="s">
        <v>81</v>
      </c>
      <c r="H185" s="27" t="s">
        <v>1750</v>
      </c>
      <c r="I185" s="27" t="s">
        <v>2563</v>
      </c>
      <c r="J185" s="27" t="s">
        <v>1750</v>
      </c>
      <c r="K185" s="27" t="s">
        <v>1750</v>
      </c>
      <c r="L185" s="27" t="s">
        <v>361</v>
      </c>
      <c r="M185" s="27" t="s">
        <v>623</v>
      </c>
      <c r="N185" s="27" t="s">
        <v>292</v>
      </c>
      <c r="O185" s="27">
        <v>3</v>
      </c>
      <c r="P185" s="27" t="s">
        <v>293</v>
      </c>
      <c r="Q185" s="27" t="str" cm="1">
        <f t="array" ref="Q185">_xlfn.REGEXEXTRACT(B185,"(?&lt;=//)[^/]+")</f>
        <v>www.eporner.com</v>
      </c>
      <c r="R185" s="27" t="s">
        <v>685</v>
      </c>
      <c r="S185" s="27" t="s">
        <v>1750</v>
      </c>
      <c r="T185" s="27" t="str" cm="1">
        <f t="array" ref="T185">IF(S185&lt;&gt;"NotApplicable",_xlfn.REGEXEXTRACT(S185,"\d+(?=p)"),"NotApplicable")</f>
        <v>NotApplicable</v>
      </c>
      <c r="U185" s="27" t="s">
        <v>1750</v>
      </c>
      <c r="V185" s="27" t="b">
        <f>ISNUMBER(SEARCH(",",F185))</f>
        <v>0</v>
      </c>
    </row>
    <row r="186" spans="1:22" ht="30" x14ac:dyDescent="0.25">
      <c r="A186" s="27" t="str">
        <f>IF(ISBLANK(N186)=TRUE,"Pending","Done")</f>
        <v>Pending</v>
      </c>
      <c r="B186" s="27" t="s">
        <v>2566</v>
      </c>
      <c r="C186" s="27">
        <v>56</v>
      </c>
      <c r="D186" s="27" t="str">
        <f>SUBSTITUTE(TRIM(RIGHT(SUBSTITUTE(IF(RIGHT(B186,1)="/",LEFT(B186,LEN(B186)-1),B186),"/",REPT(" ",LEN(B186))),LEN(B186))),"-"," ")</f>
        <v>lorelei lee s pleasure of the divine bitches</v>
      </c>
      <c r="E186" s="27" t="s">
        <v>852</v>
      </c>
      <c r="F186" s="27" t="s">
        <v>274</v>
      </c>
      <c r="G186" s="27" t="s">
        <v>81</v>
      </c>
      <c r="H186" s="27" t="s">
        <v>2564</v>
      </c>
      <c r="I186" s="27" t="s">
        <v>2565</v>
      </c>
      <c r="J186" s="27" t="s">
        <v>1750</v>
      </c>
      <c r="K186" s="27" t="s">
        <v>1750</v>
      </c>
      <c r="L186" s="27" t="s">
        <v>673</v>
      </c>
      <c r="M186" s="27" t="s">
        <v>79</v>
      </c>
      <c r="N186" s="27"/>
      <c r="O186" s="27">
        <v>3</v>
      </c>
      <c r="P186" s="27" t="s">
        <v>674</v>
      </c>
      <c r="Q186" s="27" t="str" cm="1">
        <f t="array" ref="Q186">_xlfn.REGEXEXTRACT(B186,"(?&lt;=//)[^/]+")</f>
        <v>hcbdsm.com</v>
      </c>
      <c r="R186" s="27" t="s">
        <v>685</v>
      </c>
      <c r="S186" s="27" t="s">
        <v>1750</v>
      </c>
      <c r="T186" s="27" t="str" cm="1">
        <f t="array" ref="T186">IF(S186&lt;&gt;"NotApplicable",_xlfn.REGEXEXTRACT(S186,"\d+(?=p)"),"NotApplicable")</f>
        <v>NotApplicable</v>
      </c>
      <c r="U186" s="27" t="s">
        <v>1750</v>
      </c>
      <c r="V186" s="27" t="b">
        <f>ISNUMBER(SEARCH(",",F186))</f>
        <v>0</v>
      </c>
    </row>
    <row r="187" spans="1:22" ht="45" x14ac:dyDescent="0.25">
      <c r="A187" s="27" t="str">
        <f>IF(ISBLANK(N187)=TRUE,"Pending","Done")</f>
        <v>Done</v>
      </c>
      <c r="B187" s="27" t="s">
        <v>50</v>
      </c>
      <c r="C187" s="27">
        <v>70</v>
      </c>
      <c r="D187" s="27" t="str">
        <f>SUBSTITUTE(TRIM(RIGHT(SUBSTITUTE(IF(RIGHT(B187,1)="/",LEFT(B187,LEN(B187)-1),B187),"/",REPT(" ",LEN(B187))),LEN(B187))),"-"," ")</f>
        <v>two beautiful cock sluts entertain the sunday brunch crowd</v>
      </c>
      <c r="E187" s="27" t="s">
        <v>846</v>
      </c>
      <c r="F187" s="27" t="s">
        <v>336</v>
      </c>
      <c r="G187" s="27" t="s">
        <v>69</v>
      </c>
      <c r="H187" s="27" t="s">
        <v>2489</v>
      </c>
      <c r="I187" s="27" t="s">
        <v>2489</v>
      </c>
      <c r="J187" s="27" t="s">
        <v>1750</v>
      </c>
      <c r="K187" s="27" t="s">
        <v>1750</v>
      </c>
      <c r="L187" s="27" t="s">
        <v>1684</v>
      </c>
      <c r="M187" s="27" t="s">
        <v>409</v>
      </c>
      <c r="N187" s="27" t="s">
        <v>65</v>
      </c>
      <c r="O187" s="27">
        <v>3</v>
      </c>
      <c r="P187" s="27" t="s">
        <v>856</v>
      </c>
      <c r="Q187" s="27" t="str" cm="1">
        <f t="array" ref="Q187">_xlfn.REGEXEXTRACT(B187,"(?&lt;=//)[^/]+")</f>
        <v>bdsmstreak.com</v>
      </c>
      <c r="R187" s="27" t="s">
        <v>685</v>
      </c>
      <c r="S187" s="27" t="s">
        <v>1750</v>
      </c>
      <c r="T187" s="27" t="str" cm="1">
        <f t="array" ref="T187">IF(S187&lt;&gt;"NotApplicable",_xlfn.REGEXEXTRACT(S187,"\d+(?=p)"),"NotApplicable")</f>
        <v>NotApplicable</v>
      </c>
      <c r="U187" s="27" t="s">
        <v>1750</v>
      </c>
      <c r="V187" s="27" t="b">
        <f>ISNUMBER(SEARCH(",",F187))</f>
        <v>1</v>
      </c>
    </row>
    <row r="188" spans="1:22" ht="30" x14ac:dyDescent="0.25">
      <c r="A188" s="27" t="str">
        <f>IF(ISBLANK(N188)=TRUE,"Pending","Done")</f>
        <v>Done</v>
      </c>
      <c r="B188" s="27" t="s">
        <v>87</v>
      </c>
      <c r="C188" s="27">
        <v>44</v>
      </c>
      <c r="D188" s="27" t="str">
        <f>SUBSTITUTE(TRIM(RIGHT(SUBSTITUTE(IF(RIGHT(B188,1)="/",LEFT(B188,LEN(B188)-1),B188),"/",REPT(" ",LEN(B188))),LEN(B188))),"-"," ")</f>
        <v>nikki darling in public disgrace</v>
      </c>
      <c r="E188" s="27" t="s">
        <v>844</v>
      </c>
      <c r="F188" s="27" t="s">
        <v>89</v>
      </c>
      <c r="G188" s="27" t="s">
        <v>69</v>
      </c>
      <c r="H188" s="27" t="s">
        <v>2491</v>
      </c>
      <c r="I188" s="27" t="s">
        <v>2490</v>
      </c>
      <c r="J188" s="27" t="s">
        <v>1750</v>
      </c>
      <c r="K188" s="27" t="s">
        <v>1750</v>
      </c>
      <c r="L188" s="27" t="s">
        <v>2492</v>
      </c>
      <c r="M188" s="27" t="s">
        <v>621</v>
      </c>
      <c r="N188" s="27" t="s">
        <v>96</v>
      </c>
      <c r="O188" s="27">
        <v>3</v>
      </c>
      <c r="P188" s="27" t="s">
        <v>106</v>
      </c>
      <c r="Q188" s="27" t="str" cm="1">
        <f t="array" ref="Q188">_xlfn.REGEXEXTRACT(B188,"(?&lt;=//)[^/]+")</f>
        <v>bdsmstreak.com</v>
      </c>
      <c r="R188" s="27" t="s">
        <v>685</v>
      </c>
      <c r="S188" s="27" t="s">
        <v>1750</v>
      </c>
      <c r="T188" s="27" t="str" cm="1">
        <f t="array" ref="T188">IF(S188&lt;&gt;"NotApplicable",_xlfn.REGEXEXTRACT(S188,"\d+(?=p)"),"NotApplicable")</f>
        <v>NotApplicable</v>
      </c>
      <c r="U188" s="27" t="s">
        <v>1750</v>
      </c>
      <c r="V188" s="27" t="b">
        <f>ISNUMBER(SEARCH(",",F188))</f>
        <v>0</v>
      </c>
    </row>
    <row r="189" spans="1:22" ht="30" x14ac:dyDescent="0.25">
      <c r="A189" s="27" t="str">
        <f>IF(ISBLANK(N189)=TRUE,"Pending","Done")</f>
        <v>Done</v>
      </c>
      <c r="B189" s="27" t="s">
        <v>129</v>
      </c>
      <c r="C189" s="27">
        <v>44</v>
      </c>
      <c r="D189" s="27" t="str">
        <f>SUBSTITUTE(TRIM(RIGHT(SUBSTITUTE(IF(RIGHT(B189,1)="/",LEFT(B189,LEN(B189)-1),B189),"/",REPT(" ",LEN(B189))),LEN(B189))),"-"," ")</f>
        <v>melody+marks+to+watch+a+predator</v>
      </c>
      <c r="E189" s="27" t="s">
        <v>195</v>
      </c>
      <c r="F189" s="27" t="s">
        <v>167</v>
      </c>
      <c r="G189" s="27" t="s">
        <v>154</v>
      </c>
      <c r="H189" s="27" t="s">
        <v>2479</v>
      </c>
      <c r="I189" s="27" t="s">
        <v>2478</v>
      </c>
      <c r="J189" s="27" t="s">
        <v>1750</v>
      </c>
      <c r="K189" s="27" t="s">
        <v>1750</v>
      </c>
      <c r="L189" s="27" t="s">
        <v>577</v>
      </c>
      <c r="M189" s="27" t="s">
        <v>602</v>
      </c>
      <c r="N189" s="27" t="s">
        <v>65</v>
      </c>
      <c r="O189" s="27">
        <v>3</v>
      </c>
      <c r="P189" s="27" t="s">
        <v>196</v>
      </c>
      <c r="Q189" s="27" t="str" cm="1">
        <f t="array" ref="Q189">_xlfn.REGEXEXTRACT(B189,"(?&lt;=//)[^/]+")</f>
        <v>spankbang.com</v>
      </c>
      <c r="R189" s="27" t="s">
        <v>685</v>
      </c>
      <c r="S189" s="27" t="s">
        <v>1750</v>
      </c>
      <c r="T189" s="27" t="str" cm="1">
        <f t="array" ref="T189">IF(S189&lt;&gt;"NotApplicable",_xlfn.REGEXEXTRACT(S189,"\d+(?=p)"),"NotApplicable")</f>
        <v>NotApplicable</v>
      </c>
      <c r="U189" s="27" t="s">
        <v>1750</v>
      </c>
      <c r="V189" s="27" t="b">
        <f>ISNUMBER(SEARCH(",",F189))</f>
        <v>0</v>
      </c>
    </row>
    <row r="190" spans="1:22" ht="30" x14ac:dyDescent="0.25">
      <c r="A190" s="27" t="str">
        <f>IF(ISBLANK(N190)=TRUE,"Pending","Done")</f>
        <v>Done</v>
      </c>
      <c r="B190" s="27" t="s">
        <v>0</v>
      </c>
      <c r="C190" s="27">
        <v>42</v>
      </c>
      <c r="D190" s="27" t="str">
        <f>SUBSTITUTE(TRIM(RIGHT(SUBSTITUTE(IF(RIGHT(B190,1)="/",LEFT(B190,LEN(B190)-1),B190),"/",REPT(" ",LEN(B190))),LEN(B190))),"-"," ")</f>
        <v>view_video.php?viewkey=ph5db33702d8ca6</v>
      </c>
      <c r="E190" s="27" t="s">
        <v>1747</v>
      </c>
      <c r="F190" s="27" t="s">
        <v>77</v>
      </c>
      <c r="G190" s="27" t="s">
        <v>154</v>
      </c>
      <c r="H190" s="27" t="s">
        <v>2480</v>
      </c>
      <c r="I190" s="27" t="s">
        <v>2480</v>
      </c>
      <c r="J190" s="27" t="s">
        <v>1750</v>
      </c>
      <c r="K190" s="27" t="s">
        <v>1750</v>
      </c>
      <c r="L190" s="27" t="s">
        <v>541</v>
      </c>
      <c r="M190" s="27" t="s">
        <v>412</v>
      </c>
      <c r="N190" s="27" t="s">
        <v>65</v>
      </c>
      <c r="O190" s="27">
        <v>3</v>
      </c>
      <c r="P190" s="27" t="s">
        <v>183</v>
      </c>
      <c r="Q190" s="27" t="str" cm="1">
        <f t="array" ref="Q190">_xlfn.REGEXEXTRACT(B190,"(?&lt;=//)[^/]+")</f>
        <v>www.pornhub.com</v>
      </c>
      <c r="R190" s="27" t="s">
        <v>685</v>
      </c>
      <c r="S190" s="27" t="s">
        <v>1750</v>
      </c>
      <c r="T190" s="27" t="str" cm="1">
        <f t="array" ref="T190">IF(S190&lt;&gt;"NotApplicable",_xlfn.REGEXEXTRACT(S190,"\d+(?=p)"),"NotApplicable")</f>
        <v>NotApplicable</v>
      </c>
      <c r="U190" s="27" t="s">
        <v>1750</v>
      </c>
      <c r="V190" s="27" t="b">
        <f>ISNUMBER(SEARCH(",",F190))</f>
        <v>0</v>
      </c>
    </row>
    <row r="191" spans="1:22" ht="30" x14ac:dyDescent="0.25">
      <c r="A191" s="27" t="str">
        <f>IF(ISBLANK(N191)=TRUE,"Pending","Done")</f>
        <v>Done</v>
      </c>
      <c r="B191" s="27" t="s">
        <v>136</v>
      </c>
      <c r="C191" s="27">
        <v>37</v>
      </c>
      <c r="D191" s="27" t="str">
        <f>SUBSTITUTE(TRIM(RIGHT(SUBSTITUTE(IF(RIGHT(B191,1)="/",LEFT(B191,LEN(B191)-1),B191),"/",REPT(" ",LEN(B191))),LEN(B191))),"-"," ")</f>
        <v>106369411584</v>
      </c>
      <c r="E191" s="27" t="s">
        <v>1747</v>
      </c>
      <c r="F191" s="27" t="s">
        <v>174</v>
      </c>
      <c r="G191" s="27" t="s">
        <v>154</v>
      </c>
      <c r="H191" s="27" t="s">
        <v>1750</v>
      </c>
      <c r="I191" s="27" t="s">
        <v>1750</v>
      </c>
      <c r="J191" s="27" t="s">
        <v>1750</v>
      </c>
      <c r="K191" s="27" t="s">
        <v>1750</v>
      </c>
      <c r="L191" s="27" t="s">
        <v>358</v>
      </c>
      <c r="M191" s="27" t="s">
        <v>413</v>
      </c>
      <c r="N191" s="27" t="s">
        <v>65</v>
      </c>
      <c r="O191" s="27">
        <v>3</v>
      </c>
      <c r="P191" s="27" t="s">
        <v>175</v>
      </c>
      <c r="Q191" s="27" t="str" cm="1">
        <f t="array" ref="Q191">_xlfn.REGEXEXTRACT(B191,"(?&lt;=//)[^/]+")</f>
        <v>pornxp.com</v>
      </c>
      <c r="R191" s="27" t="s">
        <v>685</v>
      </c>
      <c r="S191" s="27" t="s">
        <v>1750</v>
      </c>
      <c r="T191" s="27" t="str" cm="1">
        <f t="array" ref="T191">IF(S191&lt;&gt;"NotApplicable",_xlfn.REGEXEXTRACT(S191,"\d+(?=p)"),"NotApplicable")</f>
        <v>NotApplicable</v>
      </c>
      <c r="U191" s="27" t="s">
        <v>1750</v>
      </c>
      <c r="V191" s="27" t="b">
        <f>ISNUMBER(SEARCH(",",F191))</f>
        <v>0</v>
      </c>
    </row>
    <row r="192" spans="1:22" ht="30" x14ac:dyDescent="0.25">
      <c r="A192" s="27" t="str">
        <f>IF(ISBLANK(N192)=TRUE,"Pending","Done")</f>
        <v>Done</v>
      </c>
      <c r="B192" s="27" t="s">
        <v>1</v>
      </c>
      <c r="C192" s="27">
        <v>28</v>
      </c>
      <c r="D192" s="27" t="str">
        <f>SUBSTITUTE(TRIM(RIGHT(SUBSTITUTE(IF(RIGHT(B192,1)="/",LEFT(B192,LEN(B192)-1),B192),"/",REPT(" ",LEN(B192))),LEN(B192))),"-"," ")</f>
        <v>view_video.php?viewkey=ph5c8abc4759f56</v>
      </c>
      <c r="E192" s="27" t="s">
        <v>152</v>
      </c>
      <c r="F192" s="27" t="s">
        <v>77</v>
      </c>
      <c r="G192" s="27" t="s">
        <v>154</v>
      </c>
      <c r="H192" s="27" t="s">
        <v>2481</v>
      </c>
      <c r="I192" s="27" t="s">
        <v>2481</v>
      </c>
      <c r="J192" s="27" t="s">
        <v>1750</v>
      </c>
      <c r="K192" s="27" t="s">
        <v>1750</v>
      </c>
      <c r="L192" s="27" t="s">
        <v>579</v>
      </c>
      <c r="M192" s="27" t="s">
        <v>598</v>
      </c>
      <c r="N192" s="27" t="s">
        <v>65</v>
      </c>
      <c r="O192" s="27">
        <v>3</v>
      </c>
      <c r="P192" s="27" t="s">
        <v>153</v>
      </c>
      <c r="Q192" s="27" t="str" cm="1">
        <f t="array" ref="Q192">_xlfn.REGEXEXTRACT(B192,"(?&lt;=//)[^/]+")</f>
        <v>www.pornhub.com</v>
      </c>
      <c r="R192" s="27" t="s">
        <v>685</v>
      </c>
      <c r="S192" s="27" t="s">
        <v>1750</v>
      </c>
      <c r="T192" s="27" t="str" cm="1">
        <f t="array" ref="T192">IF(S192&lt;&gt;"NotApplicable",_xlfn.REGEXEXTRACT(S192,"\d+(?=p)"),"NotApplicable")</f>
        <v>NotApplicable</v>
      </c>
      <c r="U192" s="27" t="s">
        <v>1750</v>
      </c>
      <c r="V192" s="27" t="b">
        <f>ISNUMBER(SEARCH(",",F192))</f>
        <v>0</v>
      </c>
    </row>
    <row r="193" spans="1:22" ht="30" x14ac:dyDescent="0.25">
      <c r="A193" s="27" t="str">
        <f>IF(ISBLANK(N193)=TRUE,"Pending","Done")</f>
        <v>Done</v>
      </c>
      <c r="B193" s="27" t="s">
        <v>1614</v>
      </c>
      <c r="C193" s="27">
        <v>13</v>
      </c>
      <c r="D193" s="27" t="str">
        <f>SUBSTITUTE(TRIM(RIGHT(SUBSTITUTE(IF(RIGHT(B193,1)="/",LEFT(B193,LEN(B193)-1),B193),"/",REPT(" ",LEN(B193))),LEN(B193))),"-"," ")</f>
        <v>pd0s4t6y9l1c#pwu</v>
      </c>
      <c r="E193" s="27" t="s">
        <v>187</v>
      </c>
      <c r="F193" s="27" t="s">
        <v>1438</v>
      </c>
      <c r="G193" s="27" t="s">
        <v>155</v>
      </c>
      <c r="H193" s="27" t="s">
        <v>2145</v>
      </c>
      <c r="I193" s="27" t="s">
        <v>2133</v>
      </c>
      <c r="J193" s="27" t="s">
        <v>1750</v>
      </c>
      <c r="K193" s="27" t="s">
        <v>1750</v>
      </c>
      <c r="L193" s="27" t="s">
        <v>2147</v>
      </c>
      <c r="M193" s="27" t="s">
        <v>2148</v>
      </c>
      <c r="N193" s="27" t="s">
        <v>65</v>
      </c>
      <c r="O193" s="27">
        <v>3</v>
      </c>
      <c r="P193" s="27" t="s">
        <v>2146</v>
      </c>
      <c r="Q193" s="27" t="str" cm="1">
        <f t="array" ref="Q193">_xlfn.REGEXEXTRACT(B193,"(?&lt;=//)[^/]+")</f>
        <v>porndoe.com</v>
      </c>
      <c r="R193" s="27" t="s">
        <v>685</v>
      </c>
      <c r="S193" s="27" t="s">
        <v>1750</v>
      </c>
      <c r="T193" s="27" t="str" cm="1">
        <f t="array" ref="T193">IF(S193&lt;&gt;"NotApplicable",_xlfn.REGEXEXTRACT(S193,"\d+(?=p)"),"NotApplicable")</f>
        <v>NotApplicable</v>
      </c>
      <c r="U193" s="27" t="s">
        <v>1750</v>
      </c>
      <c r="V193" s="27" t="b">
        <f>ISNUMBER(SEARCH(",",F193))</f>
        <v>0</v>
      </c>
    </row>
    <row r="194" spans="1:22" ht="30" x14ac:dyDescent="0.25">
      <c r="A194" s="27" t="str">
        <f>IF(ISBLANK(N194)=TRUE,"Pending","Done")</f>
        <v>Done</v>
      </c>
      <c r="B194" s="27" t="s">
        <v>30</v>
      </c>
      <c r="C194" s="27">
        <v>30</v>
      </c>
      <c r="D194" s="27" t="str">
        <f>SUBSTITUTE(TRIM(RIGHT(SUBSTITUTE(IF(RIGHT(B194,1)="/",LEFT(B194,LEN(B194)-1),B194),"/",REPT(" ",LEN(B194))),LEN(B194))),"-"," ")</f>
        <v>view_video.php?viewkey=ph5c38abe2b6289</v>
      </c>
      <c r="E194" s="27" t="s">
        <v>1747</v>
      </c>
      <c r="F194" s="27" t="s">
        <v>167</v>
      </c>
      <c r="G194" s="27" t="s">
        <v>155</v>
      </c>
      <c r="H194" s="27" t="s">
        <v>2470</v>
      </c>
      <c r="I194" s="27" t="s">
        <v>2470</v>
      </c>
      <c r="J194" s="27" t="s">
        <v>1750</v>
      </c>
      <c r="K194" s="27" t="s">
        <v>1750</v>
      </c>
      <c r="L194" s="27" t="s">
        <v>359</v>
      </c>
      <c r="M194" s="27" t="s">
        <v>414</v>
      </c>
      <c r="N194" s="27" t="s">
        <v>65</v>
      </c>
      <c r="O194" s="27">
        <v>3</v>
      </c>
      <c r="P194" s="27" t="s">
        <v>675</v>
      </c>
      <c r="Q194" s="27" t="str" cm="1">
        <f t="array" ref="Q194">_xlfn.REGEXEXTRACT(B194,"(?&lt;=//)[^/]+")</f>
        <v>www.pornhub.com</v>
      </c>
      <c r="R194" s="27" t="s">
        <v>685</v>
      </c>
      <c r="S194" s="27" t="s">
        <v>1750</v>
      </c>
      <c r="T194" s="27" t="str" cm="1">
        <f t="array" ref="T194">IF(S194&lt;&gt;"NotApplicable",_xlfn.REGEXEXTRACT(S194,"\d+(?=p)"),"NotApplicable")</f>
        <v>NotApplicable</v>
      </c>
      <c r="U194" s="27" t="s">
        <v>1750</v>
      </c>
      <c r="V194" s="27" t="b">
        <f>ISNUMBER(SEARCH(",",F194))</f>
        <v>0</v>
      </c>
    </row>
    <row r="195" spans="1:22" ht="30" x14ac:dyDescent="0.25">
      <c r="A195" s="27" t="str">
        <f>IF(ISBLANK(N195)=TRUE,"Pending","Done")</f>
        <v>Done</v>
      </c>
      <c r="B195" s="27" t="s">
        <v>277</v>
      </c>
      <c r="C195" s="27">
        <v>46</v>
      </c>
      <c r="D195" s="27" t="str">
        <f>SUBSTITUTE(TRIM(RIGHT(SUBSTITUTE(IF(RIGHT(B195,1)="/",LEFT(B195,LEN(B195)-1),B195),"/",REPT(" ",LEN(B195))),LEN(B195))),"-"," ")</f>
        <v>riley+reid+and+carter+cruise+eating+ass+of+eachunknown+and+friends</v>
      </c>
      <c r="E195" s="27" t="s">
        <v>1747</v>
      </c>
      <c r="F195" s="27" t="s">
        <v>337</v>
      </c>
      <c r="G195" s="27" t="s">
        <v>166</v>
      </c>
      <c r="H195" s="27" t="s">
        <v>1750</v>
      </c>
      <c r="I195" s="27" t="s">
        <v>2461</v>
      </c>
      <c r="J195" s="27" t="s">
        <v>1750</v>
      </c>
      <c r="K195" s="27" t="s">
        <v>1750</v>
      </c>
      <c r="L195" s="27" t="s">
        <v>1734</v>
      </c>
      <c r="M195" s="27" t="s">
        <v>411</v>
      </c>
      <c r="N195" s="27" t="s">
        <v>65</v>
      </c>
      <c r="O195" s="27">
        <v>3</v>
      </c>
      <c r="P195" s="27" t="s">
        <v>205</v>
      </c>
      <c r="Q195" s="27" t="str" cm="1">
        <f t="array" ref="Q195">_xlfn.REGEXEXTRACT(B195,"(?&lt;=//)[^/]+")</f>
        <v>spankbang.com</v>
      </c>
      <c r="R195" s="27" t="s">
        <v>685</v>
      </c>
      <c r="S195" s="27" t="s">
        <v>1750</v>
      </c>
      <c r="T195" s="27" t="str" cm="1">
        <f t="array" ref="T195">IF(S195&lt;&gt;"NotApplicable",_xlfn.REGEXEXTRACT(S195,"\d+(?=p)"),"NotApplicable")</f>
        <v>NotApplicable</v>
      </c>
      <c r="U195" s="27" t="s">
        <v>1750</v>
      </c>
      <c r="V195" s="27" t="b">
        <f>ISNUMBER(SEARCH(",",F195))</f>
        <v>1</v>
      </c>
    </row>
    <row r="196" spans="1:22" ht="45" x14ac:dyDescent="0.25">
      <c r="A196" s="27" t="str">
        <f>IF(ISBLANK(N196)=TRUE,"Pending","Done")</f>
        <v>Done</v>
      </c>
      <c r="B196" s="27" t="s">
        <v>2464</v>
      </c>
      <c r="C196" s="27">
        <v>31</v>
      </c>
      <c r="D196" s="27" t="str">
        <f>SUBSTITUTE(TRIM(RIGHT(SUBSTITUTE(IF(RIGHT(B196,1)="/",LEFT(B196,LEN(B196)-1),B196),"/",REPT(" ",LEN(B196))),LEN(B196))),"-"," ")</f>
        <v>video3824953</v>
      </c>
      <c r="E196" s="27" t="s">
        <v>1747</v>
      </c>
      <c r="F196" s="27" t="s">
        <v>339</v>
      </c>
      <c r="G196" s="27" t="s">
        <v>166</v>
      </c>
      <c r="H196" s="27" t="s">
        <v>2463</v>
      </c>
      <c r="I196" s="27" t="s">
        <v>2462</v>
      </c>
      <c r="J196" s="27" t="s">
        <v>1750</v>
      </c>
      <c r="K196" s="27" t="s">
        <v>1750</v>
      </c>
      <c r="L196" s="27" t="s">
        <v>1735</v>
      </c>
      <c r="M196" s="27" t="s">
        <v>711</v>
      </c>
      <c r="N196" s="27" t="s">
        <v>65</v>
      </c>
      <c r="O196" s="27">
        <v>3</v>
      </c>
      <c r="P196" s="27" t="s">
        <v>717</v>
      </c>
      <c r="Q196" s="27" t="str" cm="1">
        <f t="array" ref="Q196">_xlfn.REGEXEXTRACT(B196,"(?&lt;=//)[^/]+")</f>
        <v>www.tnaflix.com</v>
      </c>
      <c r="R196" s="27" t="s">
        <v>685</v>
      </c>
      <c r="S196" s="27" t="s">
        <v>1750</v>
      </c>
      <c r="T196" s="27" t="str" cm="1">
        <f t="array" ref="T196">IF(S196&lt;&gt;"NotApplicable",_xlfn.REGEXEXTRACT(S196,"\d+(?=p)"),"NotApplicable")</f>
        <v>NotApplicable</v>
      </c>
      <c r="U196" s="27" t="s">
        <v>1750</v>
      </c>
      <c r="V196" s="27" t="b">
        <f>ISNUMBER(SEARCH(",",F196))</f>
        <v>1</v>
      </c>
    </row>
    <row r="197" spans="1:22" ht="30" x14ac:dyDescent="0.25">
      <c r="A197" s="27" t="str">
        <f>IF(ISBLANK(N197)=TRUE,"Pending","Done")</f>
        <v>Done</v>
      </c>
      <c r="B197" s="27" t="s">
        <v>5</v>
      </c>
      <c r="C197" s="27">
        <v>18</v>
      </c>
      <c r="D197" s="27" t="str">
        <f>SUBSTITUTE(TRIM(RIGHT(SUBSTITUTE(IF(RIGHT(B197,1)="/",LEFT(B197,LEN(B197)-1),B197),"/",REPT(" ",LEN(B197))),LEN(B197))),"-"," ")</f>
        <v>dungeoncorp l a noir 3</v>
      </c>
      <c r="E197" s="27" t="s">
        <v>146</v>
      </c>
      <c r="F197" s="27" t="s">
        <v>149</v>
      </c>
      <c r="G197" s="27" t="s">
        <v>70</v>
      </c>
      <c r="H197" s="27" t="s">
        <v>1750</v>
      </c>
      <c r="I197" s="27" t="s">
        <v>2503</v>
      </c>
      <c r="J197" s="27" t="s">
        <v>1750</v>
      </c>
      <c r="K197" s="27" t="s">
        <v>1750</v>
      </c>
      <c r="L197" s="27" t="s">
        <v>476</v>
      </c>
      <c r="M197" s="27" t="s">
        <v>72</v>
      </c>
      <c r="N197" s="27" t="s">
        <v>65</v>
      </c>
      <c r="O197" s="27">
        <v>3</v>
      </c>
      <c r="P197" s="27" t="s">
        <v>150</v>
      </c>
      <c r="Q197" s="27" t="str" cm="1">
        <f t="array" ref="Q197">_xlfn.REGEXEXTRACT(B197,"(?&lt;=//)[^/]+")</f>
        <v>heavyfetish.com</v>
      </c>
      <c r="R197" s="27" t="s">
        <v>685</v>
      </c>
      <c r="S197" s="27" t="s">
        <v>1750</v>
      </c>
      <c r="T197" s="27" t="str" cm="1">
        <f t="array" ref="T197">IF(S197&lt;&gt;"NotApplicable",_xlfn.REGEXEXTRACT(S197,"\d+(?=p)"),"NotApplicable")</f>
        <v>NotApplicable</v>
      </c>
      <c r="U197" s="27" t="s">
        <v>1750</v>
      </c>
      <c r="V197" s="27" t="b">
        <f>ISNUMBER(SEARCH(",",F197))</f>
        <v>0</v>
      </c>
    </row>
    <row r="198" spans="1:22" ht="30" x14ac:dyDescent="0.25">
      <c r="A198" s="27" t="str">
        <f>IF(ISBLANK(N198)=TRUE,"Pending","Done")</f>
        <v>Done</v>
      </c>
      <c r="B198" s="27" t="s">
        <v>48</v>
      </c>
      <c r="C198" s="27">
        <v>77</v>
      </c>
      <c r="D198" s="27" t="str">
        <f>SUBSTITUTE(TRIM(RIGHT(SUBSTITUTE(IF(RIGHT(B198,1)="/",LEFT(B198,LEN(B198)-1),B198),"/",REPT(" ",LEN(B198))),LEN(B198))),"-"," ")</f>
        <v>infernal restraints keira croft spa day</v>
      </c>
      <c r="E198" s="27" t="s">
        <v>2318</v>
      </c>
      <c r="F198" s="27" t="s">
        <v>242</v>
      </c>
      <c r="G198" s="27" t="s">
        <v>70</v>
      </c>
      <c r="H198" s="27" t="s">
        <v>2508</v>
      </c>
      <c r="I198" s="27" t="s">
        <v>2509</v>
      </c>
      <c r="J198" s="27" t="s">
        <v>1750</v>
      </c>
      <c r="K198" s="27" t="s">
        <v>1750</v>
      </c>
      <c r="L198" s="27" t="s">
        <v>572</v>
      </c>
      <c r="M198" s="27" t="s">
        <v>408</v>
      </c>
      <c r="N198" s="27" t="s">
        <v>65</v>
      </c>
      <c r="O198" s="27">
        <v>3</v>
      </c>
      <c r="P198" s="27" t="s">
        <v>575</v>
      </c>
      <c r="Q198" s="27" t="str" cm="1">
        <f t="array" ref="Q198">_xlfn.REGEXEXTRACT(B198,"(?&lt;=//)[^/]+")</f>
        <v>bdsmstreak.com</v>
      </c>
      <c r="R198" s="27" t="s">
        <v>685</v>
      </c>
      <c r="S198" s="27" t="s">
        <v>1750</v>
      </c>
      <c r="T198" s="27" t="str" cm="1">
        <f t="array" ref="T198">IF(S198&lt;&gt;"NotApplicable",_xlfn.REGEXEXTRACT(S198,"\d+(?=p)"),"NotApplicable")</f>
        <v>NotApplicable</v>
      </c>
      <c r="U198" s="27" t="s">
        <v>1750</v>
      </c>
      <c r="V198" s="27" t="b">
        <f>ISNUMBER(SEARCH(",",F198))</f>
        <v>0</v>
      </c>
    </row>
    <row r="199" spans="1:22" ht="60" x14ac:dyDescent="0.25">
      <c r="A199" s="27" t="str">
        <f>IF(ISBLANK(N199)=TRUE,"Pending","Done")</f>
        <v>Done</v>
      </c>
      <c r="B199" s="27" t="s">
        <v>28</v>
      </c>
      <c r="C199" s="27">
        <v>9</v>
      </c>
      <c r="D199" s="27" t="str">
        <f>SUBSTITUTE(TRIM(RIGHT(SUBSTITUTE(IF(RIGHT(B199,1)="/",LEFT(B199,LEN(B199)-1),B199),"/",REPT(" ",LEN(B199))),LEN(B199))),"-"," ")</f>
        <v>332706</v>
      </c>
      <c r="E199" s="27" t="s">
        <v>2326</v>
      </c>
      <c r="F199" s="27" t="s">
        <v>188</v>
      </c>
      <c r="G199" s="27" t="s">
        <v>70</v>
      </c>
      <c r="H199" s="27" t="s">
        <v>2517</v>
      </c>
      <c r="I199" s="27" t="s">
        <v>2516</v>
      </c>
      <c r="J199" s="27" t="s">
        <v>1750</v>
      </c>
      <c r="K199" s="27" t="s">
        <v>1750</v>
      </c>
      <c r="L199" s="27" t="s">
        <v>360</v>
      </c>
      <c r="M199" s="27" t="s">
        <v>603</v>
      </c>
      <c r="N199" s="27" t="s">
        <v>65</v>
      </c>
      <c r="O199" s="27">
        <v>3</v>
      </c>
      <c r="P199" s="27" t="s">
        <v>607</v>
      </c>
      <c r="Q199" s="27" t="str" cm="1">
        <f t="array" ref="Q199">_xlfn.REGEXEXTRACT(B199,"(?&lt;=//)[^/]+")</f>
        <v>anyporn.com</v>
      </c>
      <c r="R199" s="27" t="s">
        <v>685</v>
      </c>
      <c r="S199" s="27" t="s">
        <v>1750</v>
      </c>
      <c r="T199" s="27" t="str" cm="1">
        <f t="array" ref="T199">IF(S199&lt;&gt;"NotApplicable",_xlfn.REGEXEXTRACT(S199,"\d+(?=p)"),"NotApplicable")</f>
        <v>NotApplicable</v>
      </c>
      <c r="U199" s="27" t="s">
        <v>1750</v>
      </c>
      <c r="V199" s="27" t="b">
        <f>ISNUMBER(SEARCH(",",F199))</f>
        <v>0</v>
      </c>
    </row>
    <row r="200" spans="1:22" ht="30" x14ac:dyDescent="0.25">
      <c r="A200" s="27" t="str">
        <f>IF(ISBLANK(N200)=TRUE,"Pending","Done")</f>
        <v>Done</v>
      </c>
      <c r="B200" s="27" t="s">
        <v>2054</v>
      </c>
      <c r="C200" s="27">
        <v>80</v>
      </c>
      <c r="D200" s="27" t="str">
        <f>SUBSTITUTE(TRIM(RIGHT(SUBSTITUTE(IF(RIGHT(B200,1)="/",LEFT(B200,LEN(B200)-1),B200),"/",REPT(" ",LEN(B200))),LEN(B200))),"-"," ")</f>
        <v>super slut</v>
      </c>
      <c r="E200" s="27" t="s">
        <v>853</v>
      </c>
      <c r="F200" s="27" t="s">
        <v>169</v>
      </c>
      <c r="G200" s="27" t="s">
        <v>70</v>
      </c>
      <c r="H200" s="27" t="s">
        <v>2538</v>
      </c>
      <c r="I200" s="27" t="s">
        <v>2538</v>
      </c>
      <c r="J200" s="27" t="s">
        <v>1750</v>
      </c>
      <c r="K200" s="27" t="s">
        <v>1750</v>
      </c>
      <c r="L200" s="27" t="s">
        <v>483</v>
      </c>
      <c r="M200" s="27" t="s">
        <v>79</v>
      </c>
      <c r="N200" s="27" t="s">
        <v>65</v>
      </c>
      <c r="O200" s="27">
        <v>3</v>
      </c>
      <c r="P200" s="27" t="s">
        <v>440</v>
      </c>
      <c r="Q200" s="27" t="str" cm="1">
        <f t="array" ref="Q200">_xlfn.REGEXEXTRACT(B200,"(?&lt;=//)[^/]+")</f>
        <v>bdsmstreak.com</v>
      </c>
      <c r="R200" s="27" t="s">
        <v>685</v>
      </c>
      <c r="S200" s="27" t="s">
        <v>1750</v>
      </c>
      <c r="T200" s="27" t="str" cm="1">
        <f t="array" ref="T200">IF(S200&lt;&gt;"NotApplicable",_xlfn.REGEXEXTRACT(S200,"\d+(?=p)"),"NotApplicable")</f>
        <v>NotApplicable</v>
      </c>
      <c r="U200" s="27" t="s">
        <v>1750</v>
      </c>
      <c r="V200" s="27" t="b">
        <f>ISNUMBER(SEARCH(",",F200))</f>
        <v>0</v>
      </c>
    </row>
    <row r="201" spans="1:22" ht="30" x14ac:dyDescent="0.25">
      <c r="A201" s="27" t="str">
        <f>IF(ISBLANK(N201)=TRUE,"Pending","Done")</f>
        <v>Done</v>
      </c>
      <c r="B201" s="27" t="s">
        <v>132</v>
      </c>
      <c r="C201" s="27">
        <v>0</v>
      </c>
      <c r="D201" s="27" t="str">
        <f>SUBSTITUTE(TRIM(RIGHT(SUBSTITUTE(IF(RIGHT(B201,1)="/",LEFT(B201,LEN(B201)-1),B201),"/",REPT(" ",LEN(B201))),LEN(B201))),"-"," ")</f>
        <v>search?q=katie+kush</v>
      </c>
      <c r="E201" s="27" t="s">
        <v>1748</v>
      </c>
      <c r="F201" s="27" t="s">
        <v>145</v>
      </c>
      <c r="G201" s="27" t="s">
        <v>70</v>
      </c>
      <c r="H201" s="27" t="s">
        <v>1750</v>
      </c>
      <c r="I201" s="27" t="s">
        <v>1750</v>
      </c>
      <c r="J201" s="27" t="s">
        <v>1750</v>
      </c>
      <c r="K201" s="27" t="s">
        <v>1750</v>
      </c>
      <c r="L201" s="27" t="s">
        <v>498</v>
      </c>
      <c r="M201" s="27" t="s">
        <v>622</v>
      </c>
      <c r="N201" s="27" t="s">
        <v>65</v>
      </c>
      <c r="O201" s="27">
        <v>3</v>
      </c>
      <c r="P201" s="27" t="s">
        <v>235</v>
      </c>
      <c r="Q201" s="27" t="str" cm="1">
        <f t="array" ref="Q201">_xlfn.REGEXEXTRACT(B201,"(?&lt;=//)[^/]+")</f>
        <v>curebdsm.com</v>
      </c>
      <c r="R201" s="27" t="s">
        <v>685</v>
      </c>
      <c r="S201" s="27" t="s">
        <v>1750</v>
      </c>
      <c r="T201" s="27" t="str" cm="1">
        <f t="array" ref="T201">IF(S201&lt;&gt;"NotApplicable",_xlfn.REGEXEXTRACT(S201,"\d+(?=p)"),"NotApplicable")</f>
        <v>NotApplicable</v>
      </c>
      <c r="U201" s="27" t="s">
        <v>1750</v>
      </c>
      <c r="V201" s="27" t="b">
        <f>ISNUMBER(SEARCH(",",F201))</f>
        <v>0</v>
      </c>
    </row>
    <row r="202" spans="1:22" ht="30" x14ac:dyDescent="0.25">
      <c r="A202" s="27" t="str">
        <f>IF(ISBLANK(N202)=TRUE,"Pending","Done")</f>
        <v>Done</v>
      </c>
      <c r="B202" s="27" t="s">
        <v>131</v>
      </c>
      <c r="C202" s="27">
        <v>0</v>
      </c>
      <c r="D202" s="27" t="str">
        <f>SUBSTITUTE(TRIM(RIGHT(SUBSTITUTE(IF(RIGHT(B202,1)="/",LEFT(B202,LEN(B202)-1),B202),"/",REPT(" ",LEN(B202))),LEN(B202))),"-"," ")</f>
        <v>Lily%20LaBeau</v>
      </c>
      <c r="E202" s="27" t="s">
        <v>1748</v>
      </c>
      <c r="F202" s="27" t="s">
        <v>169</v>
      </c>
      <c r="G202" s="27" t="s">
        <v>70</v>
      </c>
      <c r="H202" s="27" t="s">
        <v>1750</v>
      </c>
      <c r="I202" s="27" t="s">
        <v>1750</v>
      </c>
      <c r="J202" s="27" t="s">
        <v>1750</v>
      </c>
      <c r="K202" s="27" t="s">
        <v>1750</v>
      </c>
      <c r="L202" s="27" t="s">
        <v>497</v>
      </c>
      <c r="M202" s="27" t="s">
        <v>415</v>
      </c>
      <c r="N202" s="27" t="s">
        <v>65</v>
      </c>
      <c r="O202" s="27">
        <v>3</v>
      </c>
      <c r="P202" s="27" t="s">
        <v>236</v>
      </c>
      <c r="Q202" s="27" t="str" cm="1">
        <f t="array" ref="Q202">_xlfn.REGEXEXTRACT(B202,"(?&lt;=//)[^/]+")</f>
        <v>curebdsm.com</v>
      </c>
      <c r="R202" s="27" t="s">
        <v>685</v>
      </c>
      <c r="S202" s="27" t="s">
        <v>1750</v>
      </c>
      <c r="T202" s="27" t="str" cm="1">
        <f t="array" ref="T202">IF(S202&lt;&gt;"NotApplicable",_xlfn.REGEXEXTRACT(S202,"\d+(?=p)"),"NotApplicable")</f>
        <v>NotApplicable</v>
      </c>
      <c r="U202" s="27" t="s">
        <v>1750</v>
      </c>
      <c r="V202" s="27" t="b">
        <f>ISNUMBER(SEARCH(",",F202))</f>
        <v>0</v>
      </c>
    </row>
    <row r="203" spans="1:22" ht="30" x14ac:dyDescent="0.25">
      <c r="A203" s="27" t="str">
        <f>IF(ISBLANK(N203)=TRUE,"Pending","Done")</f>
        <v>Done</v>
      </c>
      <c r="B203" s="27" t="s">
        <v>55</v>
      </c>
      <c r="C203" s="27">
        <v>32</v>
      </c>
      <c r="D203" s="27" t="str">
        <f>SUBSTITUTE(TRIM(RIGHT(SUBSTITUTE(IF(RIGHT(B203,1)="/",LEFT(B203,LEN(B203)-1),B203),"/",REPT(" ",LEN(B203))),LEN(B203))),"-"," ")</f>
        <v>queensnake trampling holly qs holly</v>
      </c>
      <c r="E203" s="27" t="s">
        <v>93</v>
      </c>
      <c r="F203" s="27" t="s">
        <v>338</v>
      </c>
      <c r="G203" s="27" t="s">
        <v>71</v>
      </c>
      <c r="H203" s="27" t="s">
        <v>2572</v>
      </c>
      <c r="I203" s="27" t="s">
        <v>2571</v>
      </c>
      <c r="J203" s="27" t="s">
        <v>1750</v>
      </c>
      <c r="K203" s="27" t="s">
        <v>1750</v>
      </c>
      <c r="L203" s="27" t="s">
        <v>1712</v>
      </c>
      <c r="M203" s="27" t="s">
        <v>712</v>
      </c>
      <c r="N203" s="27" t="s">
        <v>65</v>
      </c>
      <c r="O203" s="27">
        <v>3</v>
      </c>
      <c r="P203" s="27" t="s">
        <v>650</v>
      </c>
      <c r="Q203" s="27" t="str" cm="1">
        <f t="array" ref="Q203">_xlfn.REGEXEXTRACT(B203,"(?&lt;=//)[^/]+")</f>
        <v>heavyfetish.com</v>
      </c>
      <c r="R203" s="27" t="s">
        <v>685</v>
      </c>
      <c r="S203" s="27" t="s">
        <v>1750</v>
      </c>
      <c r="T203" s="27" t="str" cm="1">
        <f t="array" ref="T203">IF(S203&lt;&gt;"NotApplicable",_xlfn.REGEXEXTRACT(S203,"\d+(?=p)"),"NotApplicable")</f>
        <v>NotApplicable</v>
      </c>
      <c r="U203" s="27" t="s">
        <v>1750</v>
      </c>
      <c r="V203" s="27" t="b">
        <f>ISNUMBER(SEARCH(",",F203))</f>
        <v>1</v>
      </c>
    </row>
    <row r="204" spans="1:22" ht="30" x14ac:dyDescent="0.25">
      <c r="A204" s="27" t="str">
        <f>IF(ISBLANK(N204)=TRUE,"Pending","Done")</f>
        <v>Done</v>
      </c>
      <c r="B204" s="27" t="s">
        <v>17</v>
      </c>
      <c r="C204" s="27">
        <v>46</v>
      </c>
      <c r="D204" s="27" t="str">
        <f>SUBSTITUTE(TRIM(RIGHT(SUBSTITUTE(IF(RIGHT(B204,1)="/",LEFT(B204,LEN(B204)-1),B204),"/",REPT(" ",LEN(B204))),LEN(B204))),"-"," ")</f>
        <v>sex and submission joslyn james ki chodai</v>
      </c>
      <c r="E204" s="27" t="s">
        <v>845</v>
      </c>
      <c r="F204" s="27" t="s">
        <v>201</v>
      </c>
      <c r="G204" s="27" t="s">
        <v>70</v>
      </c>
      <c r="H204" s="27" t="s">
        <v>2690</v>
      </c>
      <c r="I204" s="27" t="s">
        <v>2689</v>
      </c>
      <c r="J204" s="27" t="s">
        <v>1750</v>
      </c>
      <c r="K204" s="27" t="s">
        <v>1750</v>
      </c>
      <c r="L204" s="27" t="s">
        <v>520</v>
      </c>
      <c r="M204" s="27" t="s">
        <v>410</v>
      </c>
      <c r="N204" s="27" t="s">
        <v>65</v>
      </c>
      <c r="O204" s="27">
        <v>3</v>
      </c>
      <c r="P204" s="27" t="s">
        <v>202</v>
      </c>
      <c r="Q204" s="27" t="str" cm="1">
        <f t="array" ref="Q204">_xlfn.REGEXEXTRACT(B204,"(?&lt;=//)[^/]+")</f>
        <v>heavyfetish.com</v>
      </c>
      <c r="R204" s="27" t="s">
        <v>685</v>
      </c>
      <c r="S204" s="27" t="s">
        <v>1750</v>
      </c>
      <c r="T204" s="27" t="str" cm="1">
        <f t="array" ref="T204">IF(S204&lt;&gt;"NotApplicable",_xlfn.REGEXEXTRACT(S204,"\d+(?=p)"),"NotApplicable")</f>
        <v>NotApplicable</v>
      </c>
      <c r="U204" s="27" t="s">
        <v>1750</v>
      </c>
      <c r="V204" s="27" t="b">
        <f>ISNUMBER(SEARCH(",",F204))</f>
        <v>0</v>
      </c>
    </row>
    <row r="205" spans="1:22" ht="30" x14ac:dyDescent="0.25">
      <c r="A205" s="27" t="str">
        <f>IF(ISBLANK(N205)=TRUE,"Pending","Done")</f>
        <v>Done</v>
      </c>
      <c r="B205" s="27" t="s">
        <v>26</v>
      </c>
      <c r="C205" s="27">
        <v>102</v>
      </c>
      <c r="D205" s="27" t="str">
        <f>SUBSTITUTE(TRIM(RIGHT(SUBSTITUTE(IF(RIGHT(B205,1)="/",LEFT(B205,LEN(B205)-1),B205),"/",REPT(" ",LEN(B205))),LEN(B205))),"-"," ")</f>
        <v>calico lane ice pony outdoors</v>
      </c>
      <c r="E205" s="27" t="s">
        <v>2692</v>
      </c>
      <c r="F205" s="27" t="s">
        <v>192</v>
      </c>
      <c r="G205" s="27" t="s">
        <v>70</v>
      </c>
      <c r="H205" s="27" t="s">
        <v>2691</v>
      </c>
      <c r="I205" s="27" t="s">
        <v>2691</v>
      </c>
      <c r="J205" s="27" t="s">
        <v>1750</v>
      </c>
      <c r="K205" s="27" t="s">
        <v>1750</v>
      </c>
      <c r="L205" s="27" t="s">
        <v>499</v>
      </c>
      <c r="M205" s="27" t="s">
        <v>407</v>
      </c>
      <c r="N205" s="27" t="s">
        <v>65</v>
      </c>
      <c r="O205" s="27">
        <v>3</v>
      </c>
      <c r="P205" s="27" t="s">
        <v>641</v>
      </c>
      <c r="Q205" s="27" t="str" cm="1">
        <f t="array" ref="Q205">_xlfn.REGEXEXTRACT(B205,"(?&lt;=//)[^/]+")</f>
        <v>bdsmstreak.com</v>
      </c>
      <c r="R205" s="27" t="s">
        <v>685</v>
      </c>
      <c r="S205" s="27" t="s">
        <v>1750</v>
      </c>
      <c r="T205" s="27" t="str" cm="1">
        <f t="array" ref="T205">IF(S205&lt;&gt;"NotApplicable",_xlfn.REGEXEXTRACT(S205,"\d+(?=p)"),"NotApplicable")</f>
        <v>NotApplicable</v>
      </c>
      <c r="U205" s="27" t="s">
        <v>1750</v>
      </c>
      <c r="V205" s="27" t="b">
        <f>ISNUMBER(SEARCH(",",F205))</f>
        <v>0</v>
      </c>
    </row>
    <row r="206" spans="1:22" ht="30" x14ac:dyDescent="0.25">
      <c r="A206" s="27" t="str">
        <f>IF(ISBLANK(N206)=TRUE,"Pending","Done")</f>
        <v>Done</v>
      </c>
      <c r="B206" s="27" t="s">
        <v>36</v>
      </c>
      <c r="C206" s="27">
        <v>45</v>
      </c>
      <c r="D206" s="27" t="str">
        <f>SUBSTITUTE(TRIM(RIGHT(SUBSTITUTE(IF(RIGHT(B206,1)="/",LEFT(B206,LEN(B206)-1),B206),"/",REPT(" ",LEN(B206))),LEN(B206))),"-"," ")</f>
        <v>insex ridin live feed from july wenona az</v>
      </c>
      <c r="E206" s="27" t="s">
        <v>74</v>
      </c>
      <c r="F206" s="27" t="s">
        <v>85</v>
      </c>
      <c r="G206" s="27" t="s">
        <v>71</v>
      </c>
      <c r="H206" s="27" t="s">
        <v>2578</v>
      </c>
      <c r="I206" s="27" t="s">
        <v>2577</v>
      </c>
      <c r="J206" s="27" t="s">
        <v>1750</v>
      </c>
      <c r="K206" s="27" t="s">
        <v>1750</v>
      </c>
      <c r="L206" s="27" t="s">
        <v>362</v>
      </c>
      <c r="M206" s="27" t="s">
        <v>1505</v>
      </c>
      <c r="N206" s="27" t="s">
        <v>65</v>
      </c>
      <c r="O206" s="27">
        <v>2</v>
      </c>
      <c r="P206" s="27" t="s">
        <v>198</v>
      </c>
      <c r="Q206" s="27" t="str" cm="1">
        <f t="array" ref="Q206">_xlfn.REGEXEXTRACT(B206,"(?&lt;=//)[^/]+")</f>
        <v>heavyfetish.com</v>
      </c>
      <c r="R206" s="27" t="s">
        <v>685</v>
      </c>
      <c r="S206" s="27" t="s">
        <v>1750</v>
      </c>
      <c r="T206" s="27" t="str" cm="1">
        <f t="array" ref="T206">IF(S206&lt;&gt;"NotApplicable",_xlfn.REGEXEXTRACT(S206,"\d+(?=p)"),"NotApplicable")</f>
        <v>NotApplicable</v>
      </c>
      <c r="U206" s="27" t="s">
        <v>1750</v>
      </c>
      <c r="V206" s="27" t="b">
        <f>ISNUMBER(SEARCH(",",F206))</f>
        <v>0</v>
      </c>
    </row>
    <row r="207" spans="1:22" ht="30" x14ac:dyDescent="0.25">
      <c r="A207" s="27" t="str">
        <f>IF(ISBLANK(N207)=TRUE,"Pending","Done")</f>
        <v>Done</v>
      </c>
      <c r="B207" s="27" t="s">
        <v>110</v>
      </c>
      <c r="C207" s="27">
        <v>14</v>
      </c>
      <c r="D207" s="27" t="str">
        <f>SUBSTITUTE(TRIM(RIGHT(SUBSTITUTE(IF(RIGHT(B207,1)="/",LEFT(B207,LEN(B207)-1),B207),"/",REPT(" ",LEN(B207))),LEN(B207))),"-"," ")</f>
        <v>theenglishmansion leather mistress milking</v>
      </c>
      <c r="E207" s="27" t="s">
        <v>111</v>
      </c>
      <c r="F207" s="27" t="s">
        <v>2554</v>
      </c>
      <c r="G207" s="27" t="s">
        <v>81</v>
      </c>
      <c r="H207" s="27" t="s">
        <v>2553</v>
      </c>
      <c r="I207" s="27" t="s">
        <v>2552</v>
      </c>
      <c r="J207" s="27" t="s">
        <v>1750</v>
      </c>
      <c r="K207" s="27" t="s">
        <v>1750</v>
      </c>
      <c r="L207" s="27" t="s">
        <v>546</v>
      </c>
      <c r="M207" s="27" t="s">
        <v>79</v>
      </c>
      <c r="N207" s="27" t="s">
        <v>65</v>
      </c>
      <c r="O207" s="27">
        <v>2</v>
      </c>
      <c r="P207" s="27" t="s">
        <v>275</v>
      </c>
      <c r="Q207" s="27" t="str" cm="1">
        <f t="array" ref="Q207">_xlfn.REGEXEXTRACT(B207,"(?&lt;=//)[^/]+")</f>
        <v>heavyfetish.com</v>
      </c>
      <c r="R207" s="27" t="s">
        <v>685</v>
      </c>
      <c r="S207" s="27" t="s">
        <v>1750</v>
      </c>
      <c r="T207" s="27" t="str" cm="1">
        <f t="array" ref="T207">IF(S207&lt;&gt;"NotApplicable",_xlfn.REGEXEXTRACT(S207,"\d+(?=p)"),"NotApplicable")</f>
        <v>NotApplicable</v>
      </c>
      <c r="U207" s="27" t="s">
        <v>1750</v>
      </c>
      <c r="V207" s="27" t="b">
        <f>ISNUMBER(SEARCH(",",F207))</f>
        <v>0</v>
      </c>
    </row>
    <row r="208" spans="1:22" ht="30" x14ac:dyDescent="0.25">
      <c r="A208" s="27" t="str">
        <f>IF(ISBLANK(N208)=TRUE,"Pending","Done")</f>
        <v>Done</v>
      </c>
      <c r="B208" s="27" t="s">
        <v>1731</v>
      </c>
      <c r="C208" s="27">
        <v>18</v>
      </c>
      <c r="D208" s="27" t="str">
        <f>SUBSTITUTE(TRIM(RIGHT(SUBSTITUTE(IF(RIGHT(B208,1)="/",LEFT(B208,LEN(B208)-1),B208),"/",REPT(" ",LEN(B208))),LEN(B208))),"-"," ")</f>
        <v>lew rubens alpha productions michelle drea liplocked</v>
      </c>
      <c r="E208" s="27" t="s">
        <v>1747</v>
      </c>
      <c r="F208" s="27" t="s">
        <v>344</v>
      </c>
      <c r="G208" s="27" t="s">
        <v>69</v>
      </c>
      <c r="H208" s="27" t="s">
        <v>1750</v>
      </c>
      <c r="I208" s="27" t="s">
        <v>2493</v>
      </c>
      <c r="J208" s="27" t="s">
        <v>1750</v>
      </c>
      <c r="K208" s="27" t="s">
        <v>1750</v>
      </c>
      <c r="L208" s="27" t="s">
        <v>1732</v>
      </c>
      <c r="M208" s="27" t="s">
        <v>417</v>
      </c>
      <c r="N208" s="27" t="s">
        <v>65</v>
      </c>
      <c r="O208" s="27">
        <v>2</v>
      </c>
      <c r="P208" s="27" t="s">
        <v>276</v>
      </c>
      <c r="Q208" s="27" t="str" cm="1">
        <f t="array" ref="Q208">_xlfn.REGEXEXTRACT(B208,"(?&lt;=//)[^/]+")</f>
        <v>hcbdsm.com</v>
      </c>
      <c r="R208" s="27" t="s">
        <v>685</v>
      </c>
      <c r="S208" s="27" t="s">
        <v>1750</v>
      </c>
      <c r="T208" s="27" t="str" cm="1">
        <f t="array" ref="T208">IF(S208&lt;&gt;"NotApplicable",_xlfn.REGEXEXTRACT(S208,"\d+(?=p)"),"NotApplicable")</f>
        <v>NotApplicable</v>
      </c>
      <c r="U208" s="27" t="s">
        <v>1750</v>
      </c>
      <c r="V208" s="27" t="b">
        <f>ISNUMBER(SEARCH(",",F208))</f>
        <v>1</v>
      </c>
    </row>
    <row r="209" spans="1:22" ht="45" x14ac:dyDescent="0.25">
      <c r="A209" s="27" t="str">
        <f>IF(ISBLANK(N209)=TRUE,"Pending","Done")</f>
        <v>Done</v>
      </c>
      <c r="B209" s="27" t="s">
        <v>125</v>
      </c>
      <c r="C209" s="27">
        <v>64</v>
      </c>
      <c r="D209" s="27" t="str">
        <f>SUBSTITUTE(TRIM(RIGHT(SUBSTITUTE(IF(RIGHT(B209,1)="/",LEFT(B209,LEN(B209)-1),B209),"/",REPT(" ",LEN(B209))),LEN(B209))),"-"," ")</f>
        <v>jg8TS9EN00M</v>
      </c>
      <c r="E209" s="27" t="s">
        <v>1747</v>
      </c>
      <c r="F209" s="27" t="s">
        <v>232</v>
      </c>
      <c r="G209" s="27" t="s">
        <v>154</v>
      </c>
      <c r="H209" s="27" t="s">
        <v>1750</v>
      </c>
      <c r="I209" s="27" t="s">
        <v>2487</v>
      </c>
      <c r="J209" s="27" t="s">
        <v>1750</v>
      </c>
      <c r="K209" s="27" t="s">
        <v>1750</v>
      </c>
      <c r="L209" s="27" t="s">
        <v>661</v>
      </c>
      <c r="M209" s="27" t="s">
        <v>605</v>
      </c>
      <c r="N209" s="27" t="s">
        <v>65</v>
      </c>
      <c r="O209" s="27">
        <v>2</v>
      </c>
      <c r="P209" s="27" t="s">
        <v>231</v>
      </c>
      <c r="Q209" s="27" t="str" cm="1">
        <f t="array" ref="Q209">_xlfn.REGEXEXTRACT(B209,"(?&lt;=//)[^/]+")</f>
        <v>www.peekvids.com</v>
      </c>
      <c r="R209" s="27" t="s">
        <v>685</v>
      </c>
      <c r="S209" s="27" t="s">
        <v>1750</v>
      </c>
      <c r="T209" s="27" t="str" cm="1">
        <f t="array" ref="T209">IF(S209&lt;&gt;"NotApplicable",_xlfn.REGEXEXTRACT(S209,"\d+(?=p)"),"NotApplicable")</f>
        <v>NotApplicable</v>
      </c>
      <c r="U209" s="27" t="s">
        <v>1750</v>
      </c>
      <c r="V209" s="27" t="b">
        <f>ISNUMBER(SEARCH(",",F209))</f>
        <v>0</v>
      </c>
    </row>
    <row r="210" spans="1:22" ht="30" x14ac:dyDescent="0.25">
      <c r="A210" s="27" t="str">
        <f>IF(ISBLANK(N210)=TRUE,"Pending","Done")</f>
        <v>Done</v>
      </c>
      <c r="B210" s="27" t="s">
        <v>130</v>
      </c>
      <c r="C210" s="27">
        <v>32</v>
      </c>
      <c r="D210" s="27" t="str">
        <f>SUBSTITUTE(TRIM(RIGHT(SUBSTITUTE(IF(RIGHT(B210,1)="/",LEFT(B210,LEN(B210)-1),B210),"/",REPT(" ",LEN(B210))),LEN(B210))),"-"," ")</f>
        <v>device bondage lily 2</v>
      </c>
      <c r="E210" s="27" t="s">
        <v>853</v>
      </c>
      <c r="F210" s="27" t="s">
        <v>169</v>
      </c>
      <c r="G210" s="27" t="s">
        <v>70</v>
      </c>
      <c r="H210" s="27" t="s">
        <v>2544</v>
      </c>
      <c r="I210" s="27" t="s">
        <v>2545</v>
      </c>
      <c r="J210" s="27" t="s">
        <v>1750</v>
      </c>
      <c r="K210" s="27" t="s">
        <v>1750</v>
      </c>
      <c r="L210" s="27" t="s">
        <v>489</v>
      </c>
      <c r="M210" s="27" t="s">
        <v>222</v>
      </c>
      <c r="N210" s="27" t="s">
        <v>65</v>
      </c>
      <c r="O210" s="27">
        <v>2</v>
      </c>
      <c r="P210" s="27" t="s">
        <v>170</v>
      </c>
      <c r="Q210" s="27" t="str" cm="1">
        <f t="array" ref="Q210">_xlfn.REGEXEXTRACT(B210,"(?&lt;=//)[^/]+")</f>
        <v>heavyfetish.com</v>
      </c>
      <c r="R210" s="27" t="s">
        <v>685</v>
      </c>
      <c r="S210" s="27" t="s">
        <v>1750</v>
      </c>
      <c r="T210" s="27" t="str" cm="1">
        <f t="array" ref="T210">IF(S210&lt;&gt;"NotApplicable",_xlfn.REGEXEXTRACT(S210,"\d+(?=p)"),"NotApplicable")</f>
        <v>NotApplicable</v>
      </c>
      <c r="U210" s="27" t="s">
        <v>1750</v>
      </c>
      <c r="V210" s="27" t="b">
        <f>ISNUMBER(SEARCH(",",F210))</f>
        <v>0</v>
      </c>
    </row>
    <row r="211" spans="1:22" ht="30" x14ac:dyDescent="0.25">
      <c r="A211" s="27" t="str">
        <f>IF(ISBLANK(N211)=TRUE,"Pending","Done")</f>
        <v>Done</v>
      </c>
      <c r="B211" s="27" t="s">
        <v>119</v>
      </c>
      <c r="C211" s="27">
        <v>47</v>
      </c>
      <c r="D211" s="27" t="str">
        <f>SUBSTITUTE(TRIM(RIGHT(SUBSTITUTE(IF(RIGHT(B211,1)="/",LEFT(B211,LEN(B211)-1),B211),"/",REPT(" ",LEN(B211))),LEN(B211))),"-"," ")</f>
        <v>112039 behave_or_the_fist_goes_elbow_deep.html</v>
      </c>
      <c r="E211" s="27" t="s">
        <v>851</v>
      </c>
      <c r="F211" s="27" t="s">
        <v>342</v>
      </c>
      <c r="G211" s="27" t="s">
        <v>71</v>
      </c>
      <c r="H211" s="27" t="s">
        <v>2634</v>
      </c>
      <c r="I211" s="27" t="s">
        <v>2633</v>
      </c>
      <c r="J211" s="27" t="s">
        <v>1750</v>
      </c>
      <c r="K211" s="27" t="s">
        <v>1750</v>
      </c>
      <c r="L211" s="27" t="s">
        <v>1716</v>
      </c>
      <c r="M211" s="27" t="s">
        <v>713</v>
      </c>
      <c r="N211" s="27" t="s">
        <v>65</v>
      </c>
      <c r="O211" s="27">
        <v>2</v>
      </c>
      <c r="P211" s="27" t="s">
        <v>206</v>
      </c>
      <c r="Q211" s="27" t="str" cm="1">
        <f t="array" ref="Q211">_xlfn.REGEXEXTRACT(B211,"(?&lt;=//)[^/]+")</f>
        <v>m.hqporner.com</v>
      </c>
      <c r="R211" s="27" t="s">
        <v>685</v>
      </c>
      <c r="S211" s="27" t="s">
        <v>1750</v>
      </c>
      <c r="T211" s="27" t="str" cm="1">
        <f t="array" ref="T211">IF(S211&lt;&gt;"NotApplicable",_xlfn.REGEXEXTRACT(S211,"\d+(?=p)"),"NotApplicable")</f>
        <v>NotApplicable</v>
      </c>
      <c r="U211" s="27" t="s">
        <v>1750</v>
      </c>
      <c r="V211" s="27" t="b">
        <f>ISNUMBER(SEARCH(",",F211))</f>
        <v>1</v>
      </c>
    </row>
    <row r="212" spans="1:22" ht="30" x14ac:dyDescent="0.25">
      <c r="A212" s="27" t="str">
        <f>IF(ISBLANK(N212)=TRUE,"Pending","Done")</f>
        <v>Done</v>
      </c>
      <c r="B212" s="27" t="s">
        <v>1746</v>
      </c>
      <c r="C212" s="27">
        <v>57</v>
      </c>
      <c r="D212" s="27" t="str">
        <f>SUBSTITUTE(TRIM(RIGHT(SUBSTITUTE(IF(RIGHT(B212,1)="/",LEFT(B212,LEN(B212)-1),B212),"/",REPT(" ",LEN(B212))),LEN(B212))),"-"," ")</f>
        <v>everythingbutt casey calvert and tommy king</v>
      </c>
      <c r="E212" s="27" t="s">
        <v>851</v>
      </c>
      <c r="F212" s="27" t="s">
        <v>341</v>
      </c>
      <c r="G212" s="27" t="s">
        <v>71</v>
      </c>
      <c r="H212" s="27" t="s">
        <v>2637</v>
      </c>
      <c r="I212" s="27" t="s">
        <v>2636</v>
      </c>
      <c r="J212" s="27" t="s">
        <v>1750</v>
      </c>
      <c r="K212" s="27" t="s">
        <v>1750</v>
      </c>
      <c r="L212" s="27" t="s">
        <v>1695</v>
      </c>
      <c r="M212" s="27" t="s">
        <v>416</v>
      </c>
      <c r="N212" s="27" t="s">
        <v>65</v>
      </c>
      <c r="O212" s="27">
        <v>2</v>
      </c>
      <c r="P212" s="27" t="s">
        <v>227</v>
      </c>
      <c r="Q212" s="27" t="str" cm="1">
        <f t="array" ref="Q212">_xlfn.REGEXEXTRACT(B212,"(?&lt;=//)[^/]+")</f>
        <v>heavyfetish.com</v>
      </c>
      <c r="R212" s="27" t="s">
        <v>685</v>
      </c>
      <c r="S212" s="27" t="s">
        <v>1750</v>
      </c>
      <c r="T212" s="27" t="str" cm="1">
        <f t="array" ref="T212">IF(S212&lt;&gt;"NotApplicable",_xlfn.REGEXEXTRACT(S212,"\d+(?=p)"),"NotApplicable")</f>
        <v>NotApplicable</v>
      </c>
      <c r="U212" s="27" t="s">
        <v>1750</v>
      </c>
      <c r="V212" s="27" t="b">
        <f>ISNUMBER(SEARCH(",",F212))</f>
        <v>1</v>
      </c>
    </row>
    <row r="213" spans="1:22" ht="30" x14ac:dyDescent="0.25">
      <c r="A213" s="27" t="str">
        <f>IF(ISBLANK(N213)=TRUE,"Pending","Done")</f>
        <v>Done</v>
      </c>
      <c r="B213" s="27" t="s">
        <v>54</v>
      </c>
      <c r="C213" s="27">
        <v>57</v>
      </c>
      <c r="D213" s="27" t="str">
        <f>SUBSTITUTE(TRIM(RIGHT(SUBSTITUTE(IF(RIGHT(B213,1)="/",LEFT(B213,LEN(B213)-1),B213),"/",REPT(" ",LEN(B213))),LEN(B213))),"-"," ")</f>
        <v>thetrainingofo daisy ducati 2</v>
      </c>
      <c r="E213" s="27" t="s">
        <v>846</v>
      </c>
      <c r="F213" s="27" t="s">
        <v>225</v>
      </c>
      <c r="G213" s="27" t="s">
        <v>70</v>
      </c>
      <c r="H213" s="27" t="s">
        <v>2694</v>
      </c>
      <c r="I213" s="27" t="s">
        <v>2693</v>
      </c>
      <c r="J213" s="27" t="s">
        <v>1750</v>
      </c>
      <c r="K213" s="27" t="s">
        <v>1750</v>
      </c>
      <c r="L213" s="27" t="s">
        <v>495</v>
      </c>
      <c r="M213" s="27" t="s">
        <v>636</v>
      </c>
      <c r="N213" s="27" t="s">
        <v>65</v>
      </c>
      <c r="O213" s="27">
        <v>2</v>
      </c>
      <c r="P213" s="27" t="s">
        <v>226</v>
      </c>
      <c r="Q213" s="27" t="str" cm="1">
        <f t="array" ref="Q213">_xlfn.REGEXEXTRACT(B213,"(?&lt;=//)[^/]+")</f>
        <v>heavyfetish.com</v>
      </c>
      <c r="R213" s="27" t="s">
        <v>685</v>
      </c>
      <c r="S213" s="27" t="s">
        <v>1750</v>
      </c>
      <c r="T213" s="27" t="str" cm="1">
        <f t="array" ref="T213">IF(S213&lt;&gt;"NotApplicable",_xlfn.REGEXEXTRACT(S213,"\d+(?=p)"),"NotApplicable")</f>
        <v>NotApplicable</v>
      </c>
      <c r="U213" s="27" t="s">
        <v>1750</v>
      </c>
      <c r="V213" s="27" t="b">
        <f>ISNUMBER(SEARCH(",",F213))</f>
        <v>0</v>
      </c>
    </row>
    <row r="214" spans="1:22" ht="30" x14ac:dyDescent="0.25">
      <c r="A214" s="27" t="str">
        <f>IF(ISBLANK(N214)=TRUE,"Pending","Done")</f>
        <v>Done</v>
      </c>
      <c r="B214" s="27" t="s">
        <v>2</v>
      </c>
      <c r="C214" s="27">
        <v>11</v>
      </c>
      <c r="D214" s="27" t="str">
        <f>SUBSTITUTE(TRIM(RIGHT(SUBSTITUTE(IF(RIGHT(B214,1)="/",LEFT(B214,LEN(B214)-1),B214),"/",REPT(" ",LEN(B214))),LEN(B214))),"-"," ")</f>
        <v>view_video.php?viewkey=ph594a57c3b95f0</v>
      </c>
      <c r="E214" s="27" t="s">
        <v>1747</v>
      </c>
      <c r="F214" s="27" t="s">
        <v>77</v>
      </c>
      <c r="G214" s="27" t="s">
        <v>154</v>
      </c>
      <c r="H214" s="27" t="s">
        <v>2488</v>
      </c>
      <c r="I214" s="27" t="s">
        <v>2488</v>
      </c>
      <c r="J214" s="27" t="s">
        <v>1750</v>
      </c>
      <c r="K214" s="27" t="s">
        <v>1750</v>
      </c>
      <c r="L214" s="27" t="s">
        <v>565</v>
      </c>
      <c r="M214" s="27" t="s">
        <v>600</v>
      </c>
      <c r="N214" s="27" t="s">
        <v>65</v>
      </c>
      <c r="O214" s="27">
        <v>1</v>
      </c>
      <c r="P214" s="27" t="s">
        <v>568</v>
      </c>
      <c r="Q214" s="27" t="str" cm="1">
        <f t="array" ref="Q214">_xlfn.REGEXEXTRACT(B214,"(?&lt;=//)[^/]+")</f>
        <v>www.pornhub.com</v>
      </c>
      <c r="R214" s="27" t="s">
        <v>685</v>
      </c>
      <c r="S214" s="27" t="s">
        <v>1750</v>
      </c>
      <c r="T214" s="27" t="str" cm="1">
        <f t="array" ref="T214">IF(S214&lt;&gt;"NotApplicable",_xlfn.REGEXEXTRACT(S214,"\d+(?=p)"),"NotApplicable")</f>
        <v>NotApplicable</v>
      </c>
      <c r="U214" s="27" t="s">
        <v>1750</v>
      </c>
      <c r="V214" s="27" t="b">
        <f>ISNUMBER(SEARCH(",",F214))</f>
        <v>0</v>
      </c>
    </row>
    <row r="215" spans="1:22" ht="45" x14ac:dyDescent="0.25">
      <c r="A215" s="27" t="str">
        <f>IF(ISBLANK(N215)=TRUE,"Pending","Done")</f>
        <v>Done</v>
      </c>
      <c r="B215" s="27" t="s">
        <v>113</v>
      </c>
      <c r="C215" s="27">
        <v>48</v>
      </c>
      <c r="D215" s="27" t="str">
        <f>SUBSTITUTE(TRIM(RIGHT(SUBSTITUTE(IF(RIGHT(B215,1)="/",LEFT(B215,LEN(B215)-1),B215),"/",REPT(" ",LEN(B215))),LEN(B215))),"-"," ")</f>
        <v>toilet brush cunt scrubbing with queensnake s sexual history maybe not such a bad idea</v>
      </c>
      <c r="E215" s="27" t="s">
        <v>93</v>
      </c>
      <c r="F215" s="27" t="s">
        <v>2575</v>
      </c>
      <c r="G215" s="27" t="s">
        <v>71</v>
      </c>
      <c r="H215" s="27" t="s">
        <v>2574</v>
      </c>
      <c r="I215" s="27" t="s">
        <v>2573</v>
      </c>
      <c r="J215" s="27" t="s">
        <v>1750</v>
      </c>
      <c r="K215" s="27" t="s">
        <v>1750</v>
      </c>
      <c r="L215" s="27" t="s">
        <v>2576</v>
      </c>
      <c r="M215" s="27" t="s">
        <v>418</v>
      </c>
      <c r="N215" s="27" t="s">
        <v>65</v>
      </c>
      <c r="O215" s="27">
        <v>1</v>
      </c>
      <c r="P215" s="27" t="s">
        <v>207</v>
      </c>
      <c r="Q215" s="27" t="str" cm="1">
        <f t="array" ref="Q215">_xlfn.REGEXEXTRACT(B215,"(?&lt;=//)[^/]+")</f>
        <v>heavyfetish.com</v>
      </c>
      <c r="R215" s="27" t="s">
        <v>685</v>
      </c>
      <c r="S215" s="27" t="s">
        <v>1750</v>
      </c>
      <c r="T215" s="27" t="str" cm="1">
        <f t="array" ref="T215">IF(S215&lt;&gt;"NotApplicable",_xlfn.REGEXEXTRACT(S215,"\d+(?=p)"),"NotApplicable")</f>
        <v>NotApplicable</v>
      </c>
      <c r="U215" s="27" t="s">
        <v>1750</v>
      </c>
      <c r="V215" s="27" t="b">
        <f>ISNUMBER(SEARCH(",",F215))</f>
        <v>1</v>
      </c>
    </row>
    <row r="216" spans="1:22" ht="30" x14ac:dyDescent="0.25">
      <c r="A216" s="27" t="str">
        <f>IF(ISBLANK(N216)=TRUE,"Pending","Done")</f>
        <v>Done</v>
      </c>
      <c r="B216" s="27" t="s">
        <v>90</v>
      </c>
      <c r="C216" s="27">
        <v>34</v>
      </c>
      <c r="D216" s="27" t="str">
        <f>SUBSTITUTE(TRIM(RIGHT(SUBSTITUTE(IF(RIGHT(B216,1)="/",LEFT(B216,LEN(B216)-1),B216),"/",REPT(" ",LEN(B216))),LEN(B216))),"-"," ")</f>
        <v>queensnake scorched jessica</v>
      </c>
      <c r="E216" s="27" t="s">
        <v>93</v>
      </c>
      <c r="F216" s="27" t="s">
        <v>340</v>
      </c>
      <c r="G216" s="27" t="s">
        <v>71</v>
      </c>
      <c r="H216" s="27" t="s">
        <v>2684</v>
      </c>
      <c r="I216" s="27" t="s">
        <v>2683</v>
      </c>
      <c r="J216" s="27" t="s">
        <v>1750</v>
      </c>
      <c r="K216" s="27" t="s">
        <v>1750</v>
      </c>
      <c r="L216" s="27" t="s">
        <v>1706</v>
      </c>
      <c r="M216" s="27" t="s">
        <v>94</v>
      </c>
      <c r="N216" s="27" t="s">
        <v>65</v>
      </c>
      <c r="O216" s="27">
        <v>1</v>
      </c>
      <c r="P216" s="27" t="s">
        <v>95</v>
      </c>
      <c r="Q216" s="27" t="str" cm="1">
        <f t="array" ref="Q216">_xlfn.REGEXEXTRACT(B216,"(?&lt;=//)[^/]+")</f>
        <v>heavyfetish.com</v>
      </c>
      <c r="R216" s="27" t="s">
        <v>685</v>
      </c>
      <c r="S216" s="27" t="s">
        <v>1750</v>
      </c>
      <c r="T216" s="27" t="str" cm="1">
        <f t="array" ref="T216">IF(S216&lt;&gt;"NotApplicable",_xlfn.REGEXEXTRACT(S216,"\d+(?=p)"),"NotApplicable")</f>
        <v>NotApplicable</v>
      </c>
      <c r="U216" s="27" t="s">
        <v>1750</v>
      </c>
      <c r="V216" s="27" t="b">
        <f>ISNUMBER(SEARCH(",",F216))</f>
        <v>1</v>
      </c>
    </row>
    <row r="217" spans="1:22" ht="30" x14ac:dyDescent="0.25">
      <c r="A217" s="27" t="str">
        <f>IF(ISBLANK(N217)=TRUE,"Pending","Done")</f>
        <v>Pending</v>
      </c>
      <c r="B217" s="27" t="s">
        <v>1771</v>
      </c>
      <c r="C217" s="27">
        <v>72</v>
      </c>
      <c r="D217" s="27" t="str">
        <f>SUBSTITUTE(TRIM(RIGHT(SUBSTITUTE(IF(RIGHT(B217,1)="/",LEFT(B217,LEN(B217)-1),B217),"/",REPT(" ",LEN(B217))),LEN(B217))),"-"," ")</f>
        <v>cherry torn s dirtytalking anal lesbian slut</v>
      </c>
      <c r="E217" s="27" t="s">
        <v>847</v>
      </c>
      <c r="F217" s="27" t="s">
        <v>1772</v>
      </c>
      <c r="G217" s="27" t="s">
        <v>71</v>
      </c>
      <c r="H217" s="27" t="s">
        <v>2580</v>
      </c>
      <c r="I217" s="27" t="s">
        <v>2579</v>
      </c>
      <c r="J217" s="27">
        <v>0</v>
      </c>
      <c r="K217" s="27" t="s">
        <v>1141</v>
      </c>
      <c r="L217" s="27" t="s">
        <v>1690</v>
      </c>
      <c r="M217" s="27"/>
      <c r="N217" s="27"/>
      <c r="O217" s="27"/>
      <c r="P217" s="27"/>
      <c r="Q217" s="27" t="str" cm="1">
        <f t="array" ref="Q217">_xlfn.REGEXEXTRACT(B217,"(?&lt;=//)[^/]+")</f>
        <v>bdsmstreak.com</v>
      </c>
      <c r="R217" s="27" t="s">
        <v>685</v>
      </c>
      <c r="S217" s="27" t="s">
        <v>1750</v>
      </c>
      <c r="T217" s="27" t="str" cm="1">
        <f t="array" ref="T217">IF(S217&lt;&gt;"NotApplicable",_xlfn.REGEXEXTRACT(S217,"\d+(?=p)"),"NotApplicable")</f>
        <v>NotApplicable</v>
      </c>
      <c r="U217" s="27" t="s">
        <v>1750</v>
      </c>
      <c r="V217" s="27" t="b">
        <f>ISNUMBER(SEARCH(",",F217))</f>
        <v>1</v>
      </c>
    </row>
    <row r="218" spans="1:22" ht="30" x14ac:dyDescent="0.25">
      <c r="A218" s="27" t="str">
        <f>IF(ISBLANK(N218)=TRUE,"Pending","Done")</f>
        <v>Pending</v>
      </c>
      <c r="B218" s="27" t="s">
        <v>1907</v>
      </c>
      <c r="C218" s="27">
        <v>54</v>
      </c>
      <c r="D218" s="27" t="str">
        <f>SUBSTITUTE(TRIM(RIGHT(SUBSTITUTE(IF(RIGHT(B218,1)="/",LEFT(B218,LEN(B218)-1),B218),"/",REPT(" ",LEN(B218))),LEN(B218))),"-"," ")</f>
        <v>chanta sbitches new pet lorelei lee mason moore</v>
      </c>
      <c r="E218" s="27" t="s">
        <v>1845</v>
      </c>
      <c r="F218" s="27" t="s">
        <v>1908</v>
      </c>
      <c r="G218" s="27" t="s">
        <v>71</v>
      </c>
      <c r="H218" s="27" t="s">
        <v>2582</v>
      </c>
      <c r="I218" s="27" t="s">
        <v>2581</v>
      </c>
      <c r="J218" s="27">
        <v>3</v>
      </c>
      <c r="K218" s="27" t="s">
        <v>1909</v>
      </c>
      <c r="L218" s="27" t="s">
        <v>1690</v>
      </c>
      <c r="M218" s="27"/>
      <c r="N218" s="27"/>
      <c r="O218" s="27"/>
      <c r="P218" s="27"/>
      <c r="Q218" s="27" t="str" cm="1">
        <f t="array" ref="Q218">_xlfn.REGEXEXTRACT(B218,"(?&lt;=//)[^/]+")</f>
        <v>pornzog.com</v>
      </c>
      <c r="R218" s="27" t="s">
        <v>685</v>
      </c>
      <c r="S218" s="27" t="s">
        <v>1750</v>
      </c>
      <c r="T218" s="27" t="str" cm="1">
        <f t="array" ref="T218">IF(S218&lt;&gt;"NotApplicable",_xlfn.REGEXEXTRACT(S218,"\d+(?=p)"),"NotApplicable")</f>
        <v>NotApplicable</v>
      </c>
      <c r="U218" s="27" t="s">
        <v>1750</v>
      </c>
      <c r="V218" s="27" t="b">
        <f>ISNUMBER(SEARCH(",",F218))</f>
        <v>1</v>
      </c>
    </row>
    <row r="219" spans="1:22" ht="45" x14ac:dyDescent="0.25">
      <c r="A219" s="27" t="str">
        <f>IF(ISBLANK(N219)=TRUE,"Pending","Done")</f>
        <v>Pending</v>
      </c>
      <c r="B219" s="27" t="s">
        <v>1822</v>
      </c>
      <c r="C219" s="27">
        <v>70</v>
      </c>
      <c r="D219" s="27" t="str">
        <f>SUBSTITUTE(TRIM(RIGHT(SUBSTITUTE(IF(RIGHT(B219,1)="/",LEFT(B219,LEN(B219)-1),B219),"/",REPT(" ",LEN(B219))),LEN(B219))),"-"," ")</f>
        <v>dyke bar 3 abella danger fisted dp d and dominated by wild lesbians</v>
      </c>
      <c r="E219" s="27" t="s">
        <v>847</v>
      </c>
      <c r="F219" s="27" t="s">
        <v>1823</v>
      </c>
      <c r="G219" s="27" t="s">
        <v>71</v>
      </c>
      <c r="H219" s="27" t="s">
        <v>2585</v>
      </c>
      <c r="I219" s="27" t="s">
        <v>2584</v>
      </c>
      <c r="J219" s="27">
        <v>0</v>
      </c>
      <c r="K219" s="27" t="s">
        <v>1141</v>
      </c>
      <c r="L219" s="27" t="s">
        <v>2583</v>
      </c>
      <c r="M219" s="27"/>
      <c r="N219" s="27"/>
      <c r="O219" s="27"/>
      <c r="P219" s="27"/>
      <c r="Q219" s="27" t="str" cm="1">
        <f t="array" ref="Q219">_xlfn.REGEXEXTRACT(B219,"(?&lt;=//)[^/]+")</f>
        <v>bdsmstreak.com</v>
      </c>
      <c r="R219" s="27" t="s">
        <v>685</v>
      </c>
      <c r="S219" s="27" t="s">
        <v>1750</v>
      </c>
      <c r="T219" s="27" t="str" cm="1">
        <f t="array" ref="T219">IF(S219&lt;&gt;"NotApplicable",_xlfn.REGEXEXTRACT(S219,"\d+(?=p)"),"NotApplicable")</f>
        <v>NotApplicable</v>
      </c>
      <c r="U219" s="27" t="s">
        <v>1750</v>
      </c>
      <c r="V219" s="27" t="b">
        <f>ISNUMBER(SEARCH(",",F219))</f>
        <v>1</v>
      </c>
    </row>
    <row r="220" spans="1:22" ht="30" x14ac:dyDescent="0.25">
      <c r="A220" s="27" t="str">
        <f>IF(ISBLANK(N220)=TRUE,"Pending","Done")</f>
        <v>Pending</v>
      </c>
      <c r="B220" s="27" t="s">
        <v>1548</v>
      </c>
      <c r="C220" s="27">
        <v>40</v>
      </c>
      <c r="D220" s="27" t="str">
        <f>SUBSTITUTE(TRIM(RIGHT(SUBSTITUTE(IF(RIGHT(B220,1)="/",LEFT(B220,LEN(B220)-1),B220),"/",REPT(" ",LEN(B220))),LEN(B220))),"-"," ")</f>
        <v>alicia stone sienna and isis love part 2 of 4 of the february live show</v>
      </c>
      <c r="E220" s="27" t="s">
        <v>853</v>
      </c>
      <c r="F220" s="27" t="s">
        <v>1578</v>
      </c>
      <c r="G220" s="27" t="s">
        <v>71</v>
      </c>
      <c r="H220" s="27" t="s">
        <v>2586</v>
      </c>
      <c r="I220" s="27" t="s">
        <v>2586</v>
      </c>
      <c r="J220" s="27" t="s">
        <v>1750</v>
      </c>
      <c r="K220" s="27" t="s">
        <v>1750</v>
      </c>
      <c r="L220" s="27" t="s">
        <v>1691</v>
      </c>
      <c r="M220" s="27"/>
      <c r="N220" s="27"/>
      <c r="O220" s="27"/>
      <c r="P220" s="27" t="s">
        <v>1816</v>
      </c>
      <c r="Q220" s="27" t="str" cm="1">
        <f t="array" ref="Q220">_xlfn.REGEXEXTRACT(B220,"(?&lt;=//)[^/]+")</f>
        <v>bdsmstreak.com</v>
      </c>
      <c r="R220" s="27" t="s">
        <v>685</v>
      </c>
      <c r="S220" s="27" t="s">
        <v>1750</v>
      </c>
      <c r="T220" s="27" t="str" cm="1">
        <f t="array" ref="T220">IF(S220&lt;&gt;"NotApplicable",_xlfn.REGEXEXTRACT(S220,"\d+(?=p)"),"NotApplicable")</f>
        <v>NotApplicable</v>
      </c>
      <c r="U220" s="27" t="s">
        <v>1750</v>
      </c>
      <c r="V220" s="27" t="b">
        <f>ISNUMBER(SEARCH(",",F220))</f>
        <v>1</v>
      </c>
    </row>
    <row r="221" spans="1:22" ht="30" x14ac:dyDescent="0.25">
      <c r="A221" s="27" t="str">
        <f>IF(ISBLANK(N221)=TRUE,"Pending","Done")</f>
        <v>Pending</v>
      </c>
      <c r="B221" s="27" t="s">
        <v>1634</v>
      </c>
      <c r="C221" s="27">
        <v>44</v>
      </c>
      <c r="D221" s="27" t="str">
        <f>SUBSTITUTE(TRIM(RIGHT(SUBSTITUTE(IF(RIGHT(B221,1)="/",LEFT(B221,LEN(B221)-1),B221),"/",REPT(" ",LEN(B221))),LEN(B221))),"-"," ")</f>
        <v>vendetta and claire adams</v>
      </c>
      <c r="E221" s="27" t="s">
        <v>853</v>
      </c>
      <c r="F221" s="27" t="s">
        <v>1647</v>
      </c>
      <c r="G221" s="27" t="s">
        <v>71</v>
      </c>
      <c r="H221" s="27" t="s">
        <v>2588</v>
      </c>
      <c r="I221" s="27" t="s">
        <v>2587</v>
      </c>
      <c r="J221" s="27" t="s">
        <v>1750</v>
      </c>
      <c r="K221" s="27" t="s">
        <v>1750</v>
      </c>
      <c r="L221" s="27" t="s">
        <v>1690</v>
      </c>
      <c r="M221" s="27"/>
      <c r="N221" s="27"/>
      <c r="O221" s="27"/>
      <c r="P221" s="27" t="s">
        <v>1604</v>
      </c>
      <c r="Q221" s="27" t="str" cm="1">
        <f t="array" ref="Q221">_xlfn.REGEXEXTRACT(B221,"(?&lt;=//)[^/]+")</f>
        <v>hcbdsm.com</v>
      </c>
      <c r="R221" s="27" t="s">
        <v>685</v>
      </c>
      <c r="S221" s="27" t="s">
        <v>1750</v>
      </c>
      <c r="T221" s="27" t="str" cm="1">
        <f t="array" ref="T221">IF(S221&lt;&gt;"NotApplicable",_xlfn.REGEXEXTRACT(S221,"\d+(?=p)"),"NotApplicable")</f>
        <v>NotApplicable</v>
      </c>
      <c r="U221" s="27" t="s">
        <v>1750</v>
      </c>
      <c r="V221" s="27" t="b">
        <f>ISNUMBER(SEARCH(",",F221))</f>
        <v>1</v>
      </c>
    </row>
    <row r="222" spans="1:22" ht="45" x14ac:dyDescent="0.25">
      <c r="A222" s="27" t="str">
        <f>IF(ISBLANK(N222)=TRUE,"Pending","Done")</f>
        <v>Pending</v>
      </c>
      <c r="B222" s="27" t="s">
        <v>1558</v>
      </c>
      <c r="C222" s="27">
        <v>51</v>
      </c>
      <c r="D222" s="27" t="str">
        <f>SUBSTITUTE(TRIM(RIGHT(SUBSTITUTE(IF(RIGHT(B222,1)="/",LEFT(B222,LEN(B222)-1),B222),"/",REPT(" ",LEN(B222))),LEN(B222))),"-"," ")</f>
        <v>ashley jane ally ann and princess donna part 1 of 4 of the november live show</v>
      </c>
      <c r="E222" s="27" t="s">
        <v>853</v>
      </c>
      <c r="F222" s="27" t="s">
        <v>1585</v>
      </c>
      <c r="G222" s="27" t="s">
        <v>71</v>
      </c>
      <c r="H222" s="27" t="s">
        <v>2589</v>
      </c>
      <c r="I222" s="27" t="s">
        <v>2589</v>
      </c>
      <c r="J222" s="27" t="s">
        <v>1750</v>
      </c>
      <c r="K222" s="27" t="s">
        <v>1750</v>
      </c>
      <c r="L222" s="27" t="s">
        <v>1691</v>
      </c>
      <c r="M222" s="27"/>
      <c r="N222" s="27"/>
      <c r="O222" s="27"/>
      <c r="P222" s="27" t="s">
        <v>2590</v>
      </c>
      <c r="Q222" s="27" t="str" cm="1">
        <f t="array" ref="Q222">_xlfn.REGEXEXTRACT(B222,"(?&lt;=//)[^/]+")</f>
        <v>v3.bdsmstreak.com</v>
      </c>
      <c r="R222" s="27" t="s">
        <v>685</v>
      </c>
      <c r="S222" s="27" t="s">
        <v>1750</v>
      </c>
      <c r="T222" s="27" t="str" cm="1">
        <f t="array" ref="T222">IF(S222&lt;&gt;"NotApplicable",_xlfn.REGEXEXTRACT(S222,"\d+(?=p)"),"NotApplicable")</f>
        <v>NotApplicable</v>
      </c>
      <c r="U222" s="27" t="s">
        <v>1750</v>
      </c>
      <c r="V222" s="27" t="b">
        <f>ISNUMBER(SEARCH(",",F222))</f>
        <v>1</v>
      </c>
    </row>
    <row r="223" spans="1:22" ht="45" x14ac:dyDescent="0.25">
      <c r="A223" s="27" t="str">
        <f>IF(ISBLANK(N223)=TRUE,"Pending","Done")</f>
        <v>Pending</v>
      </c>
      <c r="B223" s="27" t="s">
        <v>1966</v>
      </c>
      <c r="C223" s="27">
        <v>53</v>
      </c>
      <c r="D223" s="27" t="str">
        <f>SUBSTITUTE(TRIM(RIGHT(SUBSTITUTE(IF(RIGHT(B223,1)="/",LEFT(B223,LEN(B223)-1),B223),"/",REPT(" ",LEN(B223))),LEN(B223))),"-"," ")</f>
        <v>one girl is stretched to the limit of her body the other takes the cane and takes it hard</v>
      </c>
      <c r="E223" s="27" t="s">
        <v>853</v>
      </c>
      <c r="F223" s="27" t="s">
        <v>1815</v>
      </c>
      <c r="G223" s="27" t="s">
        <v>71</v>
      </c>
      <c r="H223" s="27" t="s">
        <v>2591</v>
      </c>
      <c r="I223" s="27" t="s">
        <v>2591</v>
      </c>
      <c r="J223" s="27">
        <v>8</v>
      </c>
      <c r="K223" s="27" t="s">
        <v>1654</v>
      </c>
      <c r="L223" s="27" t="s">
        <v>1691</v>
      </c>
      <c r="M223" s="27"/>
      <c r="N223" s="27"/>
      <c r="O223" s="27"/>
      <c r="P223" s="27" t="s">
        <v>2592</v>
      </c>
      <c r="Q223" s="27" t="str" cm="1">
        <f t="array" ref="Q223">_xlfn.REGEXEXTRACT(B223,"(?&lt;=//)[^/]+")</f>
        <v>bdsmstreak.com</v>
      </c>
      <c r="R223" s="27" t="s">
        <v>685</v>
      </c>
      <c r="S223" s="27" t="s">
        <v>1750</v>
      </c>
      <c r="T223" s="27" t="str" cm="1">
        <f t="array" ref="T223">IF(S223&lt;&gt;"NotApplicable",_xlfn.REGEXEXTRACT(S223,"\d+(?=p)"),"NotApplicable")</f>
        <v>NotApplicable</v>
      </c>
      <c r="U223" s="27" t="s">
        <v>1750</v>
      </c>
      <c r="V223" s="27" t="b">
        <f>ISNUMBER(SEARCH(",",F223))</f>
        <v>1</v>
      </c>
    </row>
    <row r="224" spans="1:22" ht="30" x14ac:dyDescent="0.25">
      <c r="A224" s="27" t="str">
        <f>IF(ISBLANK(N224)=TRUE,"Pending","Done")</f>
        <v>Pending</v>
      </c>
      <c r="B224" s="27" t="s">
        <v>1776</v>
      </c>
      <c r="C224" s="27">
        <v>57</v>
      </c>
      <c r="D224" s="27" t="str">
        <f>SUBSTITUTE(TRIM(RIGHT(SUBSTITUTE(IF(RIGHT(B224,1)="/",LEFT(B224,LEN(B224)-1),B224),"/",REPT(" ",LEN(B224))),LEN(B224))),"-"," ")</f>
        <v>claire adams vs rough rider wenona</v>
      </c>
      <c r="E224" s="27" t="s">
        <v>853</v>
      </c>
      <c r="F224" s="27" t="s">
        <v>1777</v>
      </c>
      <c r="G224" s="27" t="s">
        <v>71</v>
      </c>
      <c r="H224" s="27" t="s">
        <v>2593</v>
      </c>
      <c r="I224" s="27" t="s">
        <v>2593</v>
      </c>
      <c r="J224" s="27">
        <v>8</v>
      </c>
      <c r="K224" s="27" t="s">
        <v>1778</v>
      </c>
      <c r="L224" s="27"/>
      <c r="M224" s="27"/>
      <c r="N224" s="27"/>
      <c r="O224" s="27"/>
      <c r="P224" s="27"/>
      <c r="Q224" s="27" t="str" cm="1">
        <f t="array" ref="Q224">_xlfn.REGEXEXTRACT(B224,"(?&lt;=//)[^/]+")</f>
        <v>hcbdsm.com</v>
      </c>
      <c r="R224" s="27" t="s">
        <v>685</v>
      </c>
      <c r="S224" s="27" t="s">
        <v>1750</v>
      </c>
      <c r="T224" s="27" t="str" cm="1">
        <f t="array" ref="T224">IF(S224&lt;&gt;"NotApplicable",_xlfn.REGEXEXTRACT(S224,"\d+(?=p)"),"NotApplicable")</f>
        <v>NotApplicable</v>
      </c>
      <c r="U224" s="27" t="s">
        <v>1750</v>
      </c>
      <c r="V224" s="27" t="b">
        <f>ISNUMBER(SEARCH(",",F224))</f>
        <v>1</v>
      </c>
    </row>
    <row r="225" spans="1:22" ht="30" x14ac:dyDescent="0.25">
      <c r="A225" s="27" t="str">
        <f>IF(ISBLANK(N225)=TRUE,"Pending","Done")</f>
        <v>Pending</v>
      </c>
      <c r="B225" s="27" t="s">
        <v>1773</v>
      </c>
      <c r="C225" s="27">
        <v>61</v>
      </c>
      <c r="D225" s="27" t="str">
        <f>SUBSTITUTE(TRIM(RIGHT(SUBSTITUTE(IF(RIGHT(B225,1)="/",LEFT(B225,LEN(B225)-1),B225),"/",REPT(" ",LEN(B225))),LEN(B225))),"-"," ")</f>
        <v>claire adams vs dahlia sky</v>
      </c>
      <c r="E225" s="27" t="s">
        <v>853</v>
      </c>
      <c r="F225" s="27" t="s">
        <v>1774</v>
      </c>
      <c r="G225" s="27" t="s">
        <v>71</v>
      </c>
      <c r="H225" s="27" t="s">
        <v>2594</v>
      </c>
      <c r="I225" s="27" t="s">
        <v>2594</v>
      </c>
      <c r="J225" s="27">
        <v>4</v>
      </c>
      <c r="K225" s="27" t="s">
        <v>1775</v>
      </c>
      <c r="L225" s="27"/>
      <c r="M225" s="27"/>
      <c r="N225" s="27"/>
      <c r="O225" s="27"/>
      <c r="P225" s="27"/>
      <c r="Q225" s="27" t="str" cm="1">
        <f t="array" ref="Q225">_xlfn.REGEXEXTRACT(B225,"(?&lt;=//)[^/]+")</f>
        <v>bdsmstreak.com</v>
      </c>
      <c r="R225" s="27" t="s">
        <v>685</v>
      </c>
      <c r="S225" s="27" t="s">
        <v>1750</v>
      </c>
      <c r="T225" s="27" t="str" cm="1">
        <f t="array" ref="T225">IF(S225&lt;&gt;"NotApplicable",_xlfn.REGEXEXTRACT(S225,"\d+(?=p)"),"NotApplicable")</f>
        <v>NotApplicable</v>
      </c>
      <c r="U225" s="27" t="s">
        <v>1750</v>
      </c>
      <c r="V225" s="27" t="b">
        <f>ISNUMBER(SEARCH(",",F225))</f>
        <v>1</v>
      </c>
    </row>
    <row r="226" spans="1:22" ht="45" x14ac:dyDescent="0.25">
      <c r="A226" s="27" t="str">
        <f>IF(ISBLANK(N226)=TRUE,"Pending","Done")</f>
        <v>Pending</v>
      </c>
      <c r="B226" s="27" t="s">
        <v>1935</v>
      </c>
      <c r="C226" s="27">
        <v>74</v>
      </c>
      <c r="D226" s="27" t="str">
        <f>SUBSTITUTE(TRIM(RIGHT(SUBSTITUTE(IF(RIGHT(B226,1)="/",LEFT(B226,LEN(B226)-1),B226),"/",REPT(" ",LEN(B226))),LEN(B226))),"-"," ")</f>
        <v>missy minkslive show edited</v>
      </c>
      <c r="E226" s="27" t="s">
        <v>853</v>
      </c>
      <c r="F226" s="27" t="s">
        <v>1936</v>
      </c>
      <c r="G226" s="27" t="s">
        <v>71</v>
      </c>
      <c r="H226" s="27" t="s">
        <v>2596</v>
      </c>
      <c r="I226" s="27" t="s">
        <v>2595</v>
      </c>
      <c r="J226" s="27">
        <v>8</v>
      </c>
      <c r="K226" s="27" t="s">
        <v>1937</v>
      </c>
      <c r="L226" s="27" t="s">
        <v>2130</v>
      </c>
      <c r="M226" s="27"/>
      <c r="N226" s="27"/>
      <c r="O226" s="27"/>
      <c r="P226" s="27"/>
      <c r="Q226" s="27" t="str" cm="1">
        <f t="array" ref="Q226">_xlfn.REGEXEXTRACT(B226,"(?&lt;=//)[^/]+")</f>
        <v>hcbdsm.com</v>
      </c>
      <c r="R226" s="27" t="s">
        <v>685</v>
      </c>
      <c r="S226" s="27" t="s">
        <v>1750</v>
      </c>
      <c r="T226" s="27" t="str" cm="1">
        <f t="array" ref="T226">IF(S226&lt;&gt;"NotApplicable",_xlfn.REGEXEXTRACT(S226,"\d+(?=p)"),"NotApplicable")</f>
        <v>NotApplicable</v>
      </c>
      <c r="U226" s="27" t="s">
        <v>1750</v>
      </c>
      <c r="V226" s="27" t="b">
        <f>ISNUMBER(SEARCH(",",F226))</f>
        <v>1</v>
      </c>
    </row>
    <row r="227" spans="1:22" ht="30" x14ac:dyDescent="0.25">
      <c r="A227" s="27" t="str">
        <f>IF(ISBLANK(N227)=TRUE,"Pending","Done")</f>
        <v>Pending</v>
      </c>
      <c r="B227" s="27" t="s">
        <v>1942</v>
      </c>
      <c r="C227" s="27">
        <v>76</v>
      </c>
      <c r="D227" s="27" t="str">
        <f>SUBSTITUTE(TRIM(RIGHT(SUBSTITUTE(IF(RIGHT(B227,1)="/",LEFT(B227,LEN(B227)-1),B227),"/",REPT(" ",LEN(B227))),LEN(B227))),"-"," ")</f>
        <v>mz berlin vs odile</v>
      </c>
      <c r="E227" s="27" t="s">
        <v>853</v>
      </c>
      <c r="F227" s="27" t="s">
        <v>1943</v>
      </c>
      <c r="G227" s="27" t="s">
        <v>71</v>
      </c>
      <c r="H227" s="27" t="s">
        <v>2597</v>
      </c>
      <c r="I227" s="27" t="s">
        <v>2597</v>
      </c>
      <c r="J227" s="27">
        <v>3</v>
      </c>
      <c r="K227" s="27" t="s">
        <v>1932</v>
      </c>
      <c r="L227" s="27"/>
      <c r="M227" s="27"/>
      <c r="N227" s="27"/>
      <c r="O227" s="27"/>
      <c r="P227" s="27"/>
      <c r="Q227" s="27" t="str" cm="1">
        <f t="array" ref="Q227">_xlfn.REGEXEXTRACT(B227,"(?&lt;=//)[^/]+")</f>
        <v>bdsmstreak.com</v>
      </c>
      <c r="R227" s="27" t="s">
        <v>685</v>
      </c>
      <c r="S227" s="27" t="s">
        <v>1750</v>
      </c>
      <c r="T227" s="27" t="str" cm="1">
        <f t="array" ref="T227">IF(S227&lt;&gt;"NotApplicable",_xlfn.REGEXEXTRACT(S227,"\d+(?=p)"),"NotApplicable")</f>
        <v>NotApplicable</v>
      </c>
      <c r="U227" s="27" t="s">
        <v>1750</v>
      </c>
      <c r="V227" s="27" t="b">
        <f>ISNUMBER(SEARCH(",",F227))</f>
        <v>1</v>
      </c>
    </row>
    <row r="228" spans="1:22" ht="45" x14ac:dyDescent="0.25">
      <c r="A228" s="27" t="str">
        <f>IF(ISBLANK(N228)=TRUE,"Pending","Done")</f>
        <v>Pending</v>
      </c>
      <c r="B228" s="27" t="s">
        <v>1467</v>
      </c>
      <c r="C228" s="27">
        <v>11</v>
      </c>
      <c r="D228" s="27" t="str">
        <f>SUBSTITUTE(TRIM(RIGHT(SUBSTITUTE(IF(RIGHT(B228,1)="/",LEFT(B228,LEN(B228)-1),B228),"/",REPT(" ",LEN(B228))),LEN(B228))),"-"," ")</f>
        <v>11955</v>
      </c>
      <c r="E228" s="27" t="s">
        <v>849</v>
      </c>
      <c r="F228" s="27" t="s">
        <v>169</v>
      </c>
      <c r="G228" s="27" t="s">
        <v>71</v>
      </c>
      <c r="H228" s="27" t="s">
        <v>2150</v>
      </c>
      <c r="I228" s="27" t="s">
        <v>2150</v>
      </c>
      <c r="J228" s="27" t="s">
        <v>1750</v>
      </c>
      <c r="K228" s="27" t="s">
        <v>1750</v>
      </c>
      <c r="L228" s="27"/>
      <c r="M228" s="27"/>
      <c r="N228" s="27"/>
      <c r="O228" s="27"/>
      <c r="P228" s="27" t="s">
        <v>1468</v>
      </c>
      <c r="Q228" s="27" t="str" cm="1">
        <f t="array" ref="Q228">_xlfn.REGEXEXTRACT(B228,"(?&lt;=//)[^/]+")</f>
        <v>www.kink.com</v>
      </c>
      <c r="R228" s="27" t="s">
        <v>685</v>
      </c>
      <c r="S228" s="27" t="s">
        <v>1750</v>
      </c>
      <c r="T228" s="27" t="str" cm="1">
        <f t="array" ref="T228">IF(S228&lt;&gt;"NotApplicable",_xlfn.REGEXEXTRACT(S228,"\d+(?=p)"),"NotApplicable")</f>
        <v>NotApplicable</v>
      </c>
      <c r="U228" s="27" t="s">
        <v>1750</v>
      </c>
      <c r="V228" s="27" t="b">
        <f>ISNUMBER(SEARCH(",",F228))</f>
        <v>0</v>
      </c>
    </row>
    <row r="229" spans="1:22" ht="30" x14ac:dyDescent="0.25">
      <c r="A229" s="27" t="str">
        <f>IF(ISBLANK(N229)=TRUE,"Pending","Done")</f>
        <v>Pending</v>
      </c>
      <c r="B229" s="27" t="s">
        <v>1708</v>
      </c>
      <c r="C229" s="27">
        <v>46</v>
      </c>
      <c r="D229" s="27" t="str">
        <f>SUBSTITUTE(TRIM(RIGHT(SUBSTITUTE(IF(RIGHT(B229,1)="/",LEFT(B229,LEN(B229)-1),B229),"/",REPT(" ",LEN(B229))),LEN(B229))),"-"," ")</f>
        <v>ariel x annie cruz part 1 of 4 of the march live feed</v>
      </c>
      <c r="E229" s="27" t="s">
        <v>853</v>
      </c>
      <c r="F229" s="27" t="s">
        <v>1669</v>
      </c>
      <c r="G229" s="27" t="s">
        <v>71</v>
      </c>
      <c r="H229" s="27" t="s">
        <v>2201</v>
      </c>
      <c r="I229" s="27" t="s">
        <v>1670</v>
      </c>
      <c r="J229" s="27" t="s">
        <v>1750</v>
      </c>
      <c r="K229" s="27" t="s">
        <v>1750</v>
      </c>
      <c r="L229" s="27" t="s">
        <v>1677</v>
      </c>
      <c r="M229" s="27"/>
      <c r="N229" s="27"/>
      <c r="O229" s="27"/>
      <c r="P229" s="27" t="s">
        <v>1671</v>
      </c>
      <c r="Q229" s="27" t="str" cm="1">
        <f t="array" ref="Q229">_xlfn.REGEXEXTRACT(B229,"(?&lt;=//)[^/]+")</f>
        <v>bdsmstreak.com</v>
      </c>
      <c r="R229" s="27" t="s">
        <v>685</v>
      </c>
      <c r="S229" s="27" t="s">
        <v>1750</v>
      </c>
      <c r="T229" s="27" t="str" cm="1">
        <f t="array" ref="T229">IF(S229&lt;&gt;"NotApplicable",_xlfn.REGEXEXTRACT(S229,"\d+(?=p)"),"NotApplicable")</f>
        <v>NotApplicable</v>
      </c>
      <c r="U229" s="27" t="s">
        <v>1750</v>
      </c>
      <c r="V229" s="27" t="b">
        <f>ISNUMBER(SEARCH(",",F229))</f>
        <v>1</v>
      </c>
    </row>
    <row r="230" spans="1:22" ht="45" x14ac:dyDescent="0.25">
      <c r="A230" s="27" t="str">
        <f>IF(ISBLANK(N230)=TRUE,"Pending","Done")</f>
        <v>Pending</v>
      </c>
      <c r="B230" s="27" t="s">
        <v>1672</v>
      </c>
      <c r="C230" s="27">
        <v>37</v>
      </c>
      <c r="D230" s="27" t="str">
        <f>SUBSTITUTE(TRIM(RIGHT(SUBSTITUTE(IF(RIGHT(B230,1)="/",LEFT(B230,LEN(B230)-1),B230),"/",REPT(" ",LEN(B230))),LEN(B230))),"-"," ")</f>
        <v>ariel x annie cruz part 4 of 4 of the march live feed the domination of isis</v>
      </c>
      <c r="E230" s="27" t="s">
        <v>853</v>
      </c>
      <c r="F230" s="27" t="s">
        <v>1669</v>
      </c>
      <c r="G230" s="27" t="s">
        <v>71</v>
      </c>
      <c r="H230" s="27" t="s">
        <v>1674</v>
      </c>
      <c r="I230" s="27" t="s">
        <v>1674</v>
      </c>
      <c r="J230" s="27" t="s">
        <v>1750</v>
      </c>
      <c r="K230" s="27" t="s">
        <v>1750</v>
      </c>
      <c r="L230" s="27" t="s">
        <v>1679</v>
      </c>
      <c r="M230" s="27"/>
      <c r="N230" s="27"/>
      <c r="O230" s="27"/>
      <c r="P230" s="27" t="s">
        <v>1673</v>
      </c>
      <c r="Q230" s="27" t="str" cm="1">
        <f t="array" ref="Q230">_xlfn.REGEXEXTRACT(B230,"(?&lt;=//)[^/]+")</f>
        <v>bdsmstreak.com</v>
      </c>
      <c r="R230" s="27" t="s">
        <v>685</v>
      </c>
      <c r="S230" s="27" t="s">
        <v>1750</v>
      </c>
      <c r="T230" s="27" t="str" cm="1">
        <f t="array" ref="T230">IF(S230&lt;&gt;"NotApplicable",_xlfn.REGEXEXTRACT(S230,"\d+(?=p)"),"NotApplicable")</f>
        <v>NotApplicable</v>
      </c>
      <c r="U230" s="27" t="s">
        <v>1750</v>
      </c>
      <c r="V230" s="27" t="b">
        <f>ISNUMBER(SEARCH(",",F230))</f>
        <v>1</v>
      </c>
    </row>
    <row r="231" spans="1:22" ht="30" x14ac:dyDescent="0.25">
      <c r="A231" s="27" t="str">
        <f>IF(ISBLANK(N231)=TRUE,"Pending","Done")</f>
        <v>Pending</v>
      </c>
      <c r="B231" s="27" t="s">
        <v>1820</v>
      </c>
      <c r="C231" s="27">
        <v>54</v>
      </c>
      <c r="D231" s="27" t="str">
        <f>SUBSTITUTE(TRIM(RIGHT(SUBSTITUTE(IF(RIGHT(B231,1)="/",LEFT(B231,LEN(B231)-1),B231),"/",REPT(" ",LEN(B231))),LEN(B231))),"-"," ")</f>
        <v>6721</v>
      </c>
      <c r="E231" s="27" t="s">
        <v>851</v>
      </c>
      <c r="F231" s="27" t="s">
        <v>1821</v>
      </c>
      <c r="G231" s="27" t="s">
        <v>71</v>
      </c>
      <c r="H231" s="27" t="s">
        <v>2186</v>
      </c>
      <c r="I231" s="27" t="s">
        <v>2186</v>
      </c>
      <c r="J231" s="27">
        <v>3</v>
      </c>
      <c r="K231" s="27" t="s">
        <v>1603</v>
      </c>
      <c r="L231" s="27"/>
      <c r="M231" s="27"/>
      <c r="N231" s="27"/>
      <c r="O231" s="27"/>
      <c r="P231" s="27"/>
      <c r="Q231" s="27" t="str" cm="1">
        <f t="array" ref="Q231">_xlfn.REGEXEXTRACT(B231,"(?&lt;=//)[^/]+")</f>
        <v>www.kink.com</v>
      </c>
      <c r="R231" s="27" t="s">
        <v>685</v>
      </c>
      <c r="S231" s="27" t="s">
        <v>1750</v>
      </c>
      <c r="T231" s="27" t="str" cm="1">
        <f t="array" ref="T231">IF(S231&lt;&gt;"NotApplicable",_xlfn.REGEXEXTRACT(S231,"\d+(?=p)"),"NotApplicable")</f>
        <v>NotApplicable</v>
      </c>
      <c r="U231" s="27" t="s">
        <v>1750</v>
      </c>
      <c r="V231" s="27" t="b">
        <f>ISNUMBER(SEARCH(",",F231))</f>
        <v>1</v>
      </c>
    </row>
    <row r="232" spans="1:22" ht="30" x14ac:dyDescent="0.25">
      <c r="A232" s="27" t="str">
        <f>IF(ISBLANK(N232)=TRUE,"Pending","Done")</f>
        <v>Pending</v>
      </c>
      <c r="B232" s="27" t="s">
        <v>1844</v>
      </c>
      <c r="C232" s="27">
        <v>52</v>
      </c>
      <c r="D232" s="27" t="str">
        <f>SUBSTITUTE(TRIM(RIGHT(SUBSTITUTE(IF(RIGHT(B232,1)="/",LEFT(B232,LEN(B232)-1),B232),"/",REPT(" ",LEN(B232))),LEN(B232))),"-"," ")</f>
        <v>34079</v>
      </c>
      <c r="E232" s="27" t="s">
        <v>1845</v>
      </c>
      <c r="F232" s="27" t="s">
        <v>1846</v>
      </c>
      <c r="G232" s="27" t="s">
        <v>71</v>
      </c>
      <c r="H232" s="27" t="s">
        <v>2182</v>
      </c>
      <c r="I232" s="27" t="s">
        <v>2182</v>
      </c>
      <c r="J232" s="27">
        <v>3</v>
      </c>
      <c r="K232" s="27" t="s">
        <v>1847</v>
      </c>
      <c r="L232" s="27"/>
      <c r="M232" s="27"/>
      <c r="N232" s="27"/>
      <c r="O232" s="27"/>
      <c r="P232" s="27"/>
      <c r="Q232" s="27" t="str" cm="1">
        <f t="array" ref="Q232">_xlfn.REGEXEXTRACT(B232,"(?&lt;=//)[^/]+")</f>
        <v>www.twistedfactory.com</v>
      </c>
      <c r="R232" s="27" t="s">
        <v>685</v>
      </c>
      <c r="S232" s="27" t="s">
        <v>1750</v>
      </c>
      <c r="T232" s="27" t="str" cm="1">
        <f t="array" ref="T232">IF(S232&lt;&gt;"NotApplicable",_xlfn.REGEXEXTRACT(S232,"\d+(?=p)"),"NotApplicable")</f>
        <v>NotApplicable</v>
      </c>
      <c r="U232" s="27" t="s">
        <v>1750</v>
      </c>
      <c r="V232" s="27" t="b">
        <f>ISNUMBER(SEARCH(",",F232))</f>
        <v>1</v>
      </c>
    </row>
    <row r="233" spans="1:22" ht="30" x14ac:dyDescent="0.25">
      <c r="A233" s="27" t="str">
        <f>IF(ISBLANK(N233)=TRUE,"Pending","Done")</f>
        <v>Pending</v>
      </c>
      <c r="B233" s="27" t="s">
        <v>1859</v>
      </c>
      <c r="C233" s="27">
        <v>50</v>
      </c>
      <c r="D233" s="27" t="str">
        <f>SUBSTITUTE(TRIM(RIGHT(SUBSTITUTE(IF(RIGHT(B233,1)="/",LEFT(B233,LEN(B233)-1),B233),"/",REPT(" ",LEN(B233))),LEN(B233))),"-"," ")</f>
        <v>25815</v>
      </c>
      <c r="E233" s="27" t="s">
        <v>1761</v>
      </c>
      <c r="F233" s="27" t="s">
        <v>1860</v>
      </c>
      <c r="G233" s="27" t="s">
        <v>71</v>
      </c>
      <c r="H233" s="27" t="s">
        <v>2181</v>
      </c>
      <c r="I233" s="27" t="s">
        <v>2181</v>
      </c>
      <c r="J233" s="27">
        <v>8</v>
      </c>
      <c r="K233" s="27" t="s">
        <v>1861</v>
      </c>
      <c r="L233" s="27"/>
      <c r="M233" s="27"/>
      <c r="N233" s="27"/>
      <c r="O233" s="27"/>
      <c r="P233" s="27"/>
      <c r="Q233" s="27" t="str" cm="1">
        <f t="array" ref="Q233">_xlfn.REGEXEXTRACT(B233,"(?&lt;=//)[^/]+")</f>
        <v>www.kink.com</v>
      </c>
      <c r="R233" s="27" t="s">
        <v>685</v>
      </c>
      <c r="S233" s="27" t="s">
        <v>1750</v>
      </c>
      <c r="T233" s="27" t="str" cm="1">
        <f t="array" ref="T233">IF(S233&lt;&gt;"NotApplicable",_xlfn.REGEXEXTRACT(S233,"\d+(?=p)"),"NotApplicable")</f>
        <v>NotApplicable</v>
      </c>
      <c r="U233" s="27" t="s">
        <v>1750</v>
      </c>
      <c r="V233" s="27" t="b">
        <f>ISNUMBER(SEARCH(",",F233))</f>
        <v>1</v>
      </c>
    </row>
    <row r="234" spans="1:22" ht="30" x14ac:dyDescent="0.25">
      <c r="A234" s="27" t="str">
        <f>IF(ISBLANK(N234)=TRUE,"Pending","Done")</f>
        <v>Pending</v>
      </c>
      <c r="B234" s="27" t="s">
        <v>1876</v>
      </c>
      <c r="C234" s="27">
        <v>26</v>
      </c>
      <c r="D234" s="27" t="str">
        <f>SUBSTITUTE(TRIM(RIGHT(SUBSTITUTE(IF(RIGHT(B234,1)="/",LEFT(B234,LEN(B234)-1),B234),"/",REPT(" ",LEN(B234))),LEN(B234))),"-"," ")</f>
        <v>2423</v>
      </c>
      <c r="E234" s="27" t="s">
        <v>847</v>
      </c>
      <c r="F234" s="27" t="s">
        <v>1877</v>
      </c>
      <c r="G234" s="27" t="s">
        <v>71</v>
      </c>
      <c r="H234" s="27" t="s">
        <v>2171</v>
      </c>
      <c r="I234" s="27" t="s">
        <v>2171</v>
      </c>
      <c r="J234" s="27">
        <v>0</v>
      </c>
      <c r="K234" s="27" t="s">
        <v>1141</v>
      </c>
      <c r="L234" s="27"/>
      <c r="M234" s="27"/>
      <c r="N234" s="27"/>
      <c r="O234" s="27"/>
      <c r="P234" s="27"/>
      <c r="Q234" s="27" t="str" cm="1">
        <f t="array" ref="Q234">_xlfn.REGEXEXTRACT(B234,"(?&lt;=//)[^/]+")</f>
        <v>www.kink.com</v>
      </c>
      <c r="R234" s="27" t="s">
        <v>685</v>
      </c>
      <c r="S234" s="27" t="s">
        <v>1750</v>
      </c>
      <c r="T234" s="27" t="str" cm="1">
        <f t="array" ref="T234">IF(S234&lt;&gt;"NotApplicable",_xlfn.REGEXEXTRACT(S234,"\d+(?=p)"),"NotApplicable")</f>
        <v>NotApplicable</v>
      </c>
      <c r="U234" s="27" t="s">
        <v>1750</v>
      </c>
      <c r="V234" s="27" t="b">
        <f>ISNUMBER(SEARCH(",",F234))</f>
        <v>1</v>
      </c>
    </row>
    <row r="235" spans="1:22" ht="30" x14ac:dyDescent="0.25">
      <c r="A235" s="27" t="str">
        <f>IF(ISBLANK(N235)=TRUE,"Pending","Done")</f>
        <v>Pending</v>
      </c>
      <c r="B235" s="27" t="s">
        <v>1887</v>
      </c>
      <c r="C235" s="27">
        <v>47</v>
      </c>
      <c r="D235" s="27" t="str">
        <f>SUBSTITUTE(TRIM(RIGHT(SUBSTITUTE(IF(RIGHT(B235,1)="/",LEFT(B235,LEN(B235)-1),B235),"/",REPT(" ",LEN(B235))),LEN(B235))),"-"," ")</f>
        <v>3623</v>
      </c>
      <c r="E235" s="27" t="s">
        <v>847</v>
      </c>
      <c r="F235" s="27" t="s">
        <v>1888</v>
      </c>
      <c r="G235" s="27" t="s">
        <v>71</v>
      </c>
      <c r="H235" s="27" t="s">
        <v>2172</v>
      </c>
      <c r="I235" s="27" t="s">
        <v>2172</v>
      </c>
      <c r="J235" s="27">
        <v>0</v>
      </c>
      <c r="K235" s="27" t="s">
        <v>1141</v>
      </c>
      <c r="L235" s="27"/>
      <c r="M235" s="27"/>
      <c r="N235" s="27"/>
      <c r="O235" s="27"/>
      <c r="P235" s="27"/>
      <c r="Q235" s="27" t="str" cm="1">
        <f t="array" ref="Q235">_xlfn.REGEXEXTRACT(B235,"(?&lt;=//)[^/]+")</f>
        <v>www.kink.com</v>
      </c>
      <c r="R235" s="27" t="s">
        <v>685</v>
      </c>
      <c r="S235" s="27" t="s">
        <v>1750</v>
      </c>
      <c r="T235" s="27" t="str" cm="1">
        <f t="array" ref="T235">IF(S235&lt;&gt;"NotApplicable",_xlfn.REGEXEXTRACT(S235,"\d+(?=p)"),"NotApplicable")</f>
        <v>NotApplicable</v>
      </c>
      <c r="U235" s="27" t="s">
        <v>1750</v>
      </c>
      <c r="V235" s="27" t="b">
        <f>ISNUMBER(SEARCH(",",F235))</f>
        <v>1</v>
      </c>
    </row>
    <row r="236" spans="1:22" ht="30" x14ac:dyDescent="0.25">
      <c r="A236" s="27" t="str">
        <f>IF(ISBLANK(N236)=TRUE,"Pending","Done")</f>
        <v>Pending</v>
      </c>
      <c r="B236" s="27" t="s">
        <v>1890</v>
      </c>
      <c r="C236" s="27">
        <v>52</v>
      </c>
      <c r="D236" s="27" t="str">
        <f>SUBSTITUTE(TRIM(RIGHT(SUBSTITUTE(IF(RIGHT(B236,1)="/",LEFT(B236,LEN(B236)-1),B236),"/",REPT(" ",LEN(B236))),LEN(B236))),"-"," ")</f>
        <v>27005</v>
      </c>
      <c r="E236" s="27" t="s">
        <v>1761</v>
      </c>
      <c r="F236" s="27" t="s">
        <v>1891</v>
      </c>
      <c r="G236" s="27" t="s">
        <v>71</v>
      </c>
      <c r="H236" s="27" t="s">
        <v>2183</v>
      </c>
      <c r="I236" s="27" t="s">
        <v>2183</v>
      </c>
      <c r="J236" s="27">
        <v>3</v>
      </c>
      <c r="K236" s="27" t="s">
        <v>1892</v>
      </c>
      <c r="L236" s="27"/>
      <c r="M236" s="27"/>
      <c r="N236" s="27"/>
      <c r="O236" s="27"/>
      <c r="P236" s="27"/>
      <c r="Q236" s="27" t="str" cm="1">
        <f t="array" ref="Q236">_xlfn.REGEXEXTRACT(B236,"(?&lt;=//)[^/]+")</f>
        <v>www.kink.com</v>
      </c>
      <c r="R236" s="27" t="s">
        <v>685</v>
      </c>
      <c r="S236" s="27" t="s">
        <v>1750</v>
      </c>
      <c r="T236" s="27" t="str" cm="1">
        <f t="array" ref="T236">IF(S236&lt;&gt;"NotApplicable",_xlfn.REGEXEXTRACT(S236,"\d+(?=p)"),"NotApplicable")</f>
        <v>NotApplicable</v>
      </c>
      <c r="U236" s="27" t="s">
        <v>1750</v>
      </c>
      <c r="V236" s="27" t="b">
        <f>ISNUMBER(SEARCH(",",F236))</f>
        <v>1</v>
      </c>
    </row>
    <row r="237" spans="1:22" ht="45" x14ac:dyDescent="0.25">
      <c r="A237" s="27" t="str">
        <f>IF(ISBLANK(N237)=TRUE,"Pending","Done")</f>
        <v>Pending</v>
      </c>
      <c r="B237" s="27" t="s">
        <v>1915</v>
      </c>
      <c r="C237" s="27">
        <v>75</v>
      </c>
      <c r="D237" s="27" t="str">
        <f>SUBSTITUTE(TRIM(RIGHT(SUBSTITUTE(IF(RIGHT(B237,1)="/",LEFT(B237,LEN(B237)-1),B237),"/",REPT(" ",LEN(B237))),LEN(B237))),"-"," ")</f>
        <v>4472</v>
      </c>
      <c r="E237" s="27" t="s">
        <v>848</v>
      </c>
      <c r="F237" s="27" t="s">
        <v>1916</v>
      </c>
      <c r="G237" s="27" t="s">
        <v>71</v>
      </c>
      <c r="H237" s="27" t="s">
        <v>2202</v>
      </c>
      <c r="I237" s="27" t="s">
        <v>2202</v>
      </c>
      <c r="J237" s="27">
        <v>4</v>
      </c>
      <c r="K237" s="27" t="s">
        <v>1917</v>
      </c>
      <c r="L237" s="27"/>
      <c r="M237" s="27"/>
      <c r="N237" s="27"/>
      <c r="O237" s="27"/>
      <c r="P237" s="27"/>
      <c r="Q237" s="27" t="str" cm="1">
        <f t="array" ref="Q237">_xlfn.REGEXEXTRACT(B237,"(?&lt;=//)[^/]+")</f>
        <v>www.kink.com</v>
      </c>
      <c r="R237" s="27" t="s">
        <v>685</v>
      </c>
      <c r="S237" s="27" t="s">
        <v>1750</v>
      </c>
      <c r="T237" s="27" t="str" cm="1">
        <f t="array" ref="T237">IF(S237&lt;&gt;"NotApplicable",_xlfn.REGEXEXTRACT(S237,"\d+(?=p)"),"NotApplicable")</f>
        <v>NotApplicable</v>
      </c>
      <c r="U237" s="27" t="s">
        <v>1750</v>
      </c>
      <c r="V237" s="27" t="b">
        <f>ISNUMBER(SEARCH(",",F237))</f>
        <v>1</v>
      </c>
    </row>
    <row r="238" spans="1:22" ht="135" x14ac:dyDescent="0.25">
      <c r="A238" s="27" t="str">
        <f>IF(ISBLANK(N238)=TRUE,"Pending","Done")</f>
        <v>Pending</v>
      </c>
      <c r="B238" s="27" t="s">
        <v>1939</v>
      </c>
      <c r="C238" s="27">
        <v>127</v>
      </c>
      <c r="D238" s="27" t="str">
        <f>SUBSTITUTE(TRIM(RIGHT(SUBSTITUTE(IF(RIGHT(B238,1)="/",LEFT(B238,LEN(B238)-1),B238),"/",REPT(" ",LEN(B238))),LEN(B238))),"-"," ")</f>
        <v>45960</v>
      </c>
      <c r="E238" s="27" t="s">
        <v>1574</v>
      </c>
      <c r="F238" s="27" t="s">
        <v>1940</v>
      </c>
      <c r="G238" s="27" t="s">
        <v>71</v>
      </c>
      <c r="H238" s="27" t="s">
        <v>2210</v>
      </c>
      <c r="I238" s="27" t="s">
        <v>2210</v>
      </c>
      <c r="J238" s="27">
        <v>2</v>
      </c>
      <c r="K238" s="27" t="s">
        <v>1941</v>
      </c>
      <c r="L238" s="27"/>
      <c r="M238" s="27"/>
      <c r="N238" s="27"/>
      <c r="O238" s="27"/>
      <c r="P238" s="27"/>
      <c r="Q238" s="27" t="str" cm="1">
        <f t="array" ref="Q238">_xlfn.REGEXEXTRACT(B238,"(?&lt;=//)[^/]+")</f>
        <v>www.kink.com</v>
      </c>
      <c r="R238" s="27" t="s">
        <v>685</v>
      </c>
      <c r="S238" s="27" t="s">
        <v>1750</v>
      </c>
      <c r="T238" s="27" t="str" cm="1">
        <f t="array" ref="T238">IF(S238&lt;&gt;"NotApplicable",_xlfn.REGEXEXTRACT(S238,"\d+(?=p)"),"NotApplicable")</f>
        <v>NotApplicable</v>
      </c>
      <c r="U238" s="27" t="s">
        <v>1750</v>
      </c>
      <c r="V238" s="27" t="b">
        <f>ISNUMBER(SEARCH(",",F238))</f>
        <v>1</v>
      </c>
    </row>
    <row r="239" spans="1:22" ht="30" x14ac:dyDescent="0.25">
      <c r="A239" s="27" t="str">
        <f>IF(ISBLANK(N239)=TRUE,"Pending","Done")</f>
        <v>Pending</v>
      </c>
      <c r="B239" s="27" t="s">
        <v>2062</v>
      </c>
      <c r="C239" s="27" t="s">
        <v>1141</v>
      </c>
      <c r="D239" s="27" t="str">
        <f>SUBSTITUTE(TRIM(RIGHT(SUBSTITUTE(IF(RIGHT(B239,1)="/",LEFT(B239,LEN(B239)-1),B239),"/",REPT(" ",LEN(B239))),LEN(B239))),"-"," ")</f>
        <v>26968</v>
      </c>
      <c r="E239" s="27" t="s">
        <v>1663</v>
      </c>
      <c r="F239" s="27" t="s">
        <v>2063</v>
      </c>
      <c r="G239" s="27" t="s">
        <v>71</v>
      </c>
      <c r="H239" s="27" t="s">
        <v>2211</v>
      </c>
      <c r="I239" s="27" t="s">
        <v>2211</v>
      </c>
      <c r="J239" s="27">
        <v>0</v>
      </c>
      <c r="K239" s="27" t="s">
        <v>1141</v>
      </c>
      <c r="L239" s="27" t="s">
        <v>1690</v>
      </c>
      <c r="M239" s="27"/>
      <c r="N239" s="27"/>
      <c r="O239" s="27"/>
      <c r="P239" s="27"/>
      <c r="Q239" s="27" t="str" cm="1">
        <f t="array" ref="Q239">_xlfn.REGEXEXTRACT(B239,"(?&lt;=//)[^/]+")</f>
        <v>www.twistedfactory.com</v>
      </c>
      <c r="R239" s="27" t="s">
        <v>685</v>
      </c>
      <c r="S239" s="27" t="s">
        <v>1750</v>
      </c>
      <c r="T239" s="27" t="str" cm="1">
        <f t="array" ref="T239">IF(S239&lt;&gt;"NotApplicable",_xlfn.REGEXEXTRACT(S239,"\d+(?=p)"),"NotApplicable")</f>
        <v>NotApplicable</v>
      </c>
      <c r="U239" s="27" t="s">
        <v>1750</v>
      </c>
      <c r="V239" s="27" t="b">
        <f>ISNUMBER(SEARCH(",",F239))</f>
        <v>1</v>
      </c>
    </row>
    <row r="240" spans="1:22" ht="30" x14ac:dyDescent="0.25">
      <c r="A240" s="27" t="str">
        <f>IF(ISBLANK(N240)=TRUE,"Pending","Done")</f>
        <v>Pending</v>
      </c>
      <c r="B240" s="27" t="s">
        <v>2064</v>
      </c>
      <c r="C240" s="27">
        <v>74</v>
      </c>
      <c r="D240" s="27" t="str">
        <f>SUBSTITUTE(TRIM(RIGHT(SUBSTITUTE(IF(RIGHT(B240,1)="/",LEFT(B240,LEN(B240)-1),B240),"/",REPT(" ",LEN(B240))),LEN(B240))),"-"," ")</f>
        <v>6648</v>
      </c>
      <c r="E240" s="27" t="s">
        <v>851</v>
      </c>
      <c r="F240" s="27" t="s">
        <v>2065</v>
      </c>
      <c r="G240" s="27" t="s">
        <v>71</v>
      </c>
      <c r="H240" s="27" t="s">
        <v>2200</v>
      </c>
      <c r="I240" s="27" t="s">
        <v>2200</v>
      </c>
      <c r="J240" s="27">
        <v>2</v>
      </c>
      <c r="K240" s="27" t="s">
        <v>2066</v>
      </c>
      <c r="L240" s="27"/>
      <c r="M240" s="27"/>
      <c r="N240" s="27"/>
      <c r="O240" s="27"/>
      <c r="P240" s="27"/>
      <c r="Q240" s="27" t="str" cm="1">
        <f t="array" ref="Q240">_xlfn.REGEXEXTRACT(B240,"(?&lt;=//)[^/]+")</f>
        <v>www.kink.com</v>
      </c>
      <c r="R240" s="27" t="s">
        <v>685</v>
      </c>
      <c r="S240" s="27" t="s">
        <v>1750</v>
      </c>
      <c r="T240" s="27" t="str" cm="1">
        <f t="array" ref="T240">IF(S240&lt;&gt;"NotApplicable",_xlfn.REGEXEXTRACT(S240,"\d+(?=p)"),"NotApplicable")</f>
        <v>NotApplicable</v>
      </c>
      <c r="U240" s="27" t="s">
        <v>1750</v>
      </c>
      <c r="V240" s="27" t="b">
        <f>ISNUMBER(SEARCH(",",F240))</f>
        <v>1</v>
      </c>
    </row>
    <row r="241" spans="1:22" ht="30" x14ac:dyDescent="0.25">
      <c r="A241" s="27" t="str">
        <f>IF(ISBLANK(N241)=TRUE,"Pending","Done")</f>
        <v>Pending</v>
      </c>
      <c r="B241" s="27" t="s">
        <v>2069</v>
      </c>
      <c r="C241" s="27">
        <v>52</v>
      </c>
      <c r="D241" s="27" t="str">
        <f>SUBSTITUTE(TRIM(RIGHT(SUBSTITUTE(IF(RIGHT(B241,1)="/",LEFT(B241,LEN(B241)-1),B241),"/",REPT(" ",LEN(B241))),LEN(B241))),"-"," ")</f>
        <v>13834</v>
      </c>
      <c r="E241" s="27" t="s">
        <v>848</v>
      </c>
      <c r="F241" s="27" t="s">
        <v>2070</v>
      </c>
      <c r="G241" s="27" t="s">
        <v>71</v>
      </c>
      <c r="H241" s="27" t="s">
        <v>2184</v>
      </c>
      <c r="I241" s="27" t="s">
        <v>2184</v>
      </c>
      <c r="J241" s="27">
        <v>0</v>
      </c>
      <c r="K241" s="27" t="s">
        <v>1701</v>
      </c>
      <c r="L241" s="27"/>
      <c r="M241" s="27"/>
      <c r="N241" s="27"/>
      <c r="O241" s="27"/>
      <c r="P241" s="27"/>
      <c r="Q241" s="27" t="str" cm="1">
        <f t="array" ref="Q241">_xlfn.REGEXEXTRACT(B241,"(?&lt;=//)[^/]+")</f>
        <v>www.kink.com</v>
      </c>
      <c r="R241" s="27" t="s">
        <v>685</v>
      </c>
      <c r="S241" s="27" t="s">
        <v>1750</v>
      </c>
      <c r="T241" s="27" t="str" cm="1">
        <f t="array" ref="T241">IF(S241&lt;&gt;"NotApplicable",_xlfn.REGEXEXTRACT(S241,"\d+(?=p)"),"NotApplicable")</f>
        <v>NotApplicable</v>
      </c>
      <c r="U241" s="27" t="s">
        <v>1750</v>
      </c>
      <c r="V241" s="27" t="b">
        <f>ISNUMBER(SEARCH(",",F241))</f>
        <v>1</v>
      </c>
    </row>
    <row r="242" spans="1:22" ht="30" x14ac:dyDescent="0.25">
      <c r="A242" s="27" t="str">
        <f>IF(ISBLANK(N242)=TRUE,"Pending","Done")</f>
        <v>Pending</v>
      </c>
      <c r="B242" s="27" t="s">
        <v>2086</v>
      </c>
      <c r="C242" s="27">
        <v>44</v>
      </c>
      <c r="D242" s="27" t="str">
        <f>SUBSTITUTE(TRIM(RIGHT(SUBSTITUTE(IF(RIGHT(B242,1)="/",LEFT(B242,LEN(B242)-1),B242),"/",REPT(" ",LEN(B242))),LEN(B242))),"-"," ")</f>
        <v>6350</v>
      </c>
      <c r="E242" s="27" t="s">
        <v>848</v>
      </c>
      <c r="F242" s="27" t="s">
        <v>2087</v>
      </c>
      <c r="G242" s="27" t="s">
        <v>71</v>
      </c>
      <c r="H242" s="27" t="s">
        <v>2175</v>
      </c>
      <c r="I242" s="27" t="s">
        <v>2175</v>
      </c>
      <c r="J242" s="27">
        <v>0</v>
      </c>
      <c r="K242" s="27" t="s">
        <v>1690</v>
      </c>
      <c r="L242" s="27"/>
      <c r="M242" s="27"/>
      <c r="N242" s="27"/>
      <c r="O242" s="27"/>
      <c r="P242" s="27"/>
      <c r="Q242" s="27" t="str" cm="1">
        <f t="array" ref="Q242">_xlfn.REGEXEXTRACT(B242,"(?&lt;=//)[^/]+")</f>
        <v>www.kink.com</v>
      </c>
      <c r="R242" s="27" t="s">
        <v>685</v>
      </c>
      <c r="S242" s="27" t="s">
        <v>1750</v>
      </c>
      <c r="T242" s="27" t="str" cm="1">
        <f t="array" ref="T242">IF(S242&lt;&gt;"NotApplicable",_xlfn.REGEXEXTRACT(S242,"\d+(?=p)"),"NotApplicable")</f>
        <v>NotApplicable</v>
      </c>
      <c r="U242" s="27" t="s">
        <v>1750</v>
      </c>
      <c r="V242" s="27" t="b">
        <f>ISNUMBER(SEARCH(",",F242))</f>
        <v>1</v>
      </c>
    </row>
    <row r="243" spans="1:22" ht="30" x14ac:dyDescent="0.25">
      <c r="A243" s="27" t="str">
        <f>IF(ISBLANK(N243)=TRUE,"Pending","Done")</f>
        <v>Pending</v>
      </c>
      <c r="B243" s="27" t="s">
        <v>2115</v>
      </c>
      <c r="C243" s="27">
        <v>77</v>
      </c>
      <c r="D243" s="27" t="str">
        <f>SUBSTITUTE(TRIM(RIGHT(SUBSTITUTE(IF(RIGHT(B243,1)="/",LEFT(B243,LEN(B243)-1),B243),"/",REPT(" ",LEN(B243))),LEN(B243))),"-"," ")</f>
        <v>7102</v>
      </c>
      <c r="E243" s="27" t="s">
        <v>848</v>
      </c>
      <c r="F243" s="27" t="s">
        <v>2116</v>
      </c>
      <c r="G243" s="27" t="s">
        <v>71</v>
      </c>
      <c r="H243" s="27" t="s">
        <v>2204</v>
      </c>
      <c r="I243" s="27" t="s">
        <v>2204</v>
      </c>
      <c r="J243" s="27">
        <v>0</v>
      </c>
      <c r="K243" s="27" t="s">
        <v>1701</v>
      </c>
      <c r="L243" s="27"/>
      <c r="M243" s="27"/>
      <c r="N243" s="27"/>
      <c r="O243" s="27"/>
      <c r="P243" s="27"/>
      <c r="Q243" s="27" t="str" cm="1">
        <f t="array" ref="Q243">_xlfn.REGEXEXTRACT(B243,"(?&lt;=//)[^/]+")</f>
        <v>www.kink.com</v>
      </c>
      <c r="R243" s="27" t="s">
        <v>685</v>
      </c>
      <c r="S243" s="27" t="s">
        <v>1750</v>
      </c>
      <c r="T243" s="27" t="str" cm="1">
        <f t="array" ref="T243">IF(S243&lt;&gt;"NotApplicable",_xlfn.REGEXEXTRACT(S243,"\d+(?=p)"),"NotApplicable")</f>
        <v>NotApplicable</v>
      </c>
      <c r="U243" s="27" t="s">
        <v>1750</v>
      </c>
      <c r="V243" s="27" t="b">
        <f>ISNUMBER(SEARCH(",",F243))</f>
        <v>1</v>
      </c>
    </row>
    <row r="244" spans="1:22" ht="30" x14ac:dyDescent="0.25">
      <c r="A244" s="27" t="str">
        <f>IF(ISBLANK(N244)=TRUE,"Pending","Done")</f>
        <v>Pending</v>
      </c>
      <c r="B244" s="27" t="s">
        <v>2124</v>
      </c>
      <c r="C244" s="27">
        <v>44</v>
      </c>
      <c r="D244" s="27" t="str">
        <f>SUBSTITUTE(TRIM(RIGHT(SUBSTITUTE(IF(RIGHT(B244,1)="/",LEFT(B244,LEN(B244)-1),B244),"/",REPT(" ",LEN(B244))),LEN(B244))),"-"," ")</f>
        <v>4937</v>
      </c>
      <c r="E244" s="27" t="s">
        <v>848</v>
      </c>
      <c r="F244" s="27" t="s">
        <v>85</v>
      </c>
      <c r="G244" s="27" t="s">
        <v>71</v>
      </c>
      <c r="H244" s="27" t="s">
        <v>2177</v>
      </c>
      <c r="I244" s="27" t="s">
        <v>2177</v>
      </c>
      <c r="J244" s="27">
        <v>0</v>
      </c>
      <c r="K244" s="27" t="s">
        <v>1141</v>
      </c>
      <c r="L244" s="27"/>
      <c r="M244" s="27"/>
      <c r="N244" s="27"/>
      <c r="O244" s="27"/>
      <c r="P244" s="27"/>
      <c r="Q244" s="27" t="str" cm="1">
        <f t="array" ref="Q244">_xlfn.REGEXEXTRACT(B244,"(?&lt;=//)[^/]+")</f>
        <v>www.kink.com</v>
      </c>
      <c r="R244" s="27" t="s">
        <v>685</v>
      </c>
      <c r="S244" s="27" t="s">
        <v>1750</v>
      </c>
      <c r="T244" s="27" t="str" cm="1">
        <f t="array" ref="T244">IF(S244&lt;&gt;"NotApplicable",_xlfn.REGEXEXTRACT(S244,"\d+(?=p)"),"NotApplicable")</f>
        <v>NotApplicable</v>
      </c>
      <c r="U244" s="27" t="s">
        <v>1750</v>
      </c>
      <c r="V244" s="27" t="b">
        <f>ISNUMBER(SEARCH(",",F244))</f>
        <v>0</v>
      </c>
    </row>
    <row r="245" spans="1:22" ht="30" x14ac:dyDescent="0.25">
      <c r="A245" s="27" t="str">
        <f>IF(ISBLANK(N245)=TRUE,"Pending","Done")</f>
        <v>Pending</v>
      </c>
      <c r="B245" s="27" t="s">
        <v>1938</v>
      </c>
      <c r="C245" s="27">
        <v>81</v>
      </c>
      <c r="D245" s="27" t="str">
        <f>SUBSTITUTE(TRIM(RIGHT(SUBSTITUTE(IF(RIGHT(B245,1)="/",LEFT(B245,LEN(B245)-1),B245),"/",REPT(" ",LEN(B245))),LEN(B245))),"-"," ")</f>
        <v>missy minks tough lesbian slut</v>
      </c>
      <c r="E245" s="27" t="s">
        <v>853</v>
      </c>
      <c r="F245" s="27" t="s">
        <v>1936</v>
      </c>
      <c r="G245" s="27" t="s">
        <v>71</v>
      </c>
      <c r="H245" s="27" t="s">
        <v>2599</v>
      </c>
      <c r="I245" s="27" t="s">
        <v>2599</v>
      </c>
      <c r="J245" s="27">
        <v>2</v>
      </c>
      <c r="K245" s="27" t="s">
        <v>1607</v>
      </c>
      <c r="L245" s="27" t="s">
        <v>1690</v>
      </c>
      <c r="M245" s="27"/>
      <c r="N245" s="27"/>
      <c r="O245" s="27"/>
      <c r="P245" s="27"/>
      <c r="Q245" s="27" t="str" cm="1">
        <f t="array" ref="Q245">_xlfn.REGEXEXTRACT(B245,"(?&lt;=//)[^/]+")</f>
        <v>bdsmstreak.com</v>
      </c>
      <c r="R245" s="27" t="s">
        <v>685</v>
      </c>
      <c r="S245" s="27" t="s">
        <v>1750</v>
      </c>
      <c r="T245" s="27" t="str" cm="1">
        <f t="array" ref="T245">IF(S245&lt;&gt;"NotApplicable",_xlfn.REGEXEXTRACT(S245,"\d+(?=p)"),"NotApplicable")</f>
        <v>NotApplicable</v>
      </c>
      <c r="U245" s="27" t="s">
        <v>1750</v>
      </c>
      <c r="V245" s="27" t="b">
        <f>ISNUMBER(SEARCH(",",F245))</f>
        <v>1</v>
      </c>
    </row>
    <row r="246" spans="1:22" ht="45" x14ac:dyDescent="0.25">
      <c r="A246" s="27" t="str">
        <f>IF(ISBLANK(N246)=TRUE,"Pending","Done")</f>
        <v>Pending</v>
      </c>
      <c r="B246" s="27" t="s">
        <v>1873</v>
      </c>
      <c r="C246" s="27">
        <v>81</v>
      </c>
      <c r="D246" s="27" t="str">
        <f>SUBSTITUTE(TRIM(RIGHT(SUBSTITUTE(IF(RIGHT(B246,1)="/",LEFT(B246,LEN(B246)-1),B246),"/",REPT(" ",LEN(B246))),LEN(B246))),"-"," ")</f>
        <v>jada marxxx and sarah jane ceylon db</v>
      </c>
      <c r="E246" s="27" t="s">
        <v>853</v>
      </c>
      <c r="F246" s="27" t="s">
        <v>1874</v>
      </c>
      <c r="G246" s="27" t="s">
        <v>71</v>
      </c>
      <c r="H246" s="27" t="s">
        <v>2601</v>
      </c>
      <c r="I246" s="27" t="s">
        <v>2600</v>
      </c>
      <c r="J246" s="27">
        <v>0</v>
      </c>
      <c r="K246" s="27" t="s">
        <v>1141</v>
      </c>
      <c r="L246" s="27" t="s">
        <v>1691</v>
      </c>
      <c r="M246" s="27"/>
      <c r="N246" s="27"/>
      <c r="O246" s="27"/>
      <c r="P246" s="27"/>
      <c r="Q246" s="27" t="str" cm="1">
        <f t="array" ref="Q246">_xlfn.REGEXEXTRACT(B246,"(?&lt;=//)[^/]+")</f>
        <v>bdsmstreak.com</v>
      </c>
      <c r="R246" s="27" t="s">
        <v>685</v>
      </c>
      <c r="S246" s="27" t="s">
        <v>1750</v>
      </c>
      <c r="T246" s="27" t="str" cm="1">
        <f t="array" ref="T246">IF(S246&lt;&gt;"NotApplicable",_xlfn.REGEXEXTRACT(S246,"\d+(?=p)"),"NotApplicable")</f>
        <v>NotApplicable</v>
      </c>
      <c r="U246" s="27" t="s">
        <v>1750</v>
      </c>
      <c r="V246" s="27" t="b">
        <f>ISNUMBER(SEARCH(",",F246))</f>
        <v>1</v>
      </c>
    </row>
    <row r="247" spans="1:22" ht="30" x14ac:dyDescent="0.25">
      <c r="A247" s="27" t="str">
        <f>IF(ISBLANK(N247)=TRUE,"Pending","Done")</f>
        <v>Pending</v>
      </c>
      <c r="B247" s="27" t="s">
        <v>1951</v>
      </c>
      <c r="C247" s="27">
        <v>84</v>
      </c>
      <c r="D247" s="27" t="str">
        <f>SUBSTITUTE(TRIM(RIGHT(SUBSTITUTE(IF(RIGHT(B247,1)="/",LEFT(B247,LEN(B247)-1),B247),"/",REPT(" ",LEN(B247))),LEN(B247))),"-"," ")</f>
        <v>nikki darling katharine cane complete edited live show</v>
      </c>
      <c r="E247" s="27" t="s">
        <v>853</v>
      </c>
      <c r="F247" s="27" t="s">
        <v>1952</v>
      </c>
      <c r="G247" s="27" t="s">
        <v>71</v>
      </c>
      <c r="H247" s="27" t="s">
        <v>2603</v>
      </c>
      <c r="I247" s="27" t="s">
        <v>2602</v>
      </c>
      <c r="J247" s="27">
        <v>8</v>
      </c>
      <c r="K247" s="27" t="s">
        <v>1953</v>
      </c>
      <c r="L247" s="27" t="s">
        <v>2606</v>
      </c>
      <c r="M247" s="27"/>
      <c r="N247" s="27"/>
      <c r="O247" s="27"/>
      <c r="P247" s="27"/>
      <c r="Q247" s="27" t="str" cm="1">
        <f t="array" ref="Q247">_xlfn.REGEXEXTRACT(B247,"(?&lt;=//)[^/]+")</f>
        <v>bdsmstreak.com</v>
      </c>
      <c r="R247" s="27" t="s">
        <v>685</v>
      </c>
      <c r="S247" s="27" t="s">
        <v>1750</v>
      </c>
      <c r="T247" s="27" t="str" cm="1">
        <f t="array" ref="T247">IF(S247&lt;&gt;"NotApplicable",_xlfn.REGEXEXTRACT(S247,"\d+(?=p)"),"NotApplicable")</f>
        <v>NotApplicable</v>
      </c>
      <c r="U247" s="27" t="s">
        <v>1750</v>
      </c>
      <c r="V247" s="27" t="b">
        <f>ISNUMBER(SEARCH(",",F247))</f>
        <v>1</v>
      </c>
    </row>
    <row r="248" spans="1:22" ht="30" x14ac:dyDescent="0.25">
      <c r="A248" s="27" t="str">
        <f>IF(ISBLANK(N248)=TRUE,"Pending","Done")</f>
        <v>Pending</v>
      </c>
      <c r="B248" s="27" t="s">
        <v>1848</v>
      </c>
      <c r="C248" s="27">
        <v>91</v>
      </c>
      <c r="D248" s="27" t="str">
        <f>SUBSTITUTE(TRIM(RIGHT(SUBSTITUTE(IF(RIGHT(B248,1)="/",LEFT(B248,LEN(B248)-1),B248),"/",REPT(" ",LEN(B248))),LEN(B248))),"-"," ")</f>
        <v>fragments viii</v>
      </c>
      <c r="E248" s="27" t="s">
        <v>853</v>
      </c>
      <c r="F248" s="27" t="s">
        <v>1849</v>
      </c>
      <c r="G248" s="27" t="s">
        <v>71</v>
      </c>
      <c r="H248" s="27" t="s">
        <v>2604</v>
      </c>
      <c r="I248" s="27" t="s">
        <v>2604</v>
      </c>
      <c r="J248" s="27">
        <v>0</v>
      </c>
      <c r="K248" s="27" t="s">
        <v>1141</v>
      </c>
      <c r="L248" s="27" t="s">
        <v>1701</v>
      </c>
      <c r="M248" s="27"/>
      <c r="N248" s="27"/>
      <c r="O248" s="27"/>
      <c r="P248" s="27"/>
      <c r="Q248" s="27" t="str" cm="1">
        <f t="array" ref="Q248">_xlfn.REGEXEXTRACT(B248,"(?&lt;=//)[^/]+")</f>
        <v>bdsmstreak.com</v>
      </c>
      <c r="R248" s="27" t="s">
        <v>685</v>
      </c>
      <c r="S248" s="27" t="s">
        <v>1750</v>
      </c>
      <c r="T248" s="27" t="str" cm="1">
        <f t="array" ref="T248">IF(S248&lt;&gt;"NotApplicable",_xlfn.REGEXEXTRACT(S248,"\d+(?=p)"),"NotApplicable")</f>
        <v>NotApplicable</v>
      </c>
      <c r="U248" s="27" t="s">
        <v>1750</v>
      </c>
      <c r="V248" s="27" t="b">
        <f>ISNUMBER(SEARCH(",",F248))</f>
        <v>1</v>
      </c>
    </row>
    <row r="249" spans="1:22" ht="30" x14ac:dyDescent="0.25">
      <c r="A249" s="27" t="str">
        <f>IF(ISBLANK(N249)=TRUE,"Pending","Done")</f>
        <v>Pending</v>
      </c>
      <c r="B249" s="27" t="s">
        <v>1930</v>
      </c>
      <c r="C249" s="27">
        <v>95</v>
      </c>
      <c r="D249" s="27" t="str">
        <f>SUBSTITUTE(TRIM(RIGHT(SUBSTITUTE(IF(RIGHT(B249,1)="/",LEFT(B249,LEN(B249)-1),B249),"/",REPT(" ",LEN(B249))),LEN(B249))),"-"," ")</f>
        <v>mia lelani big titted cunt tormented complete edited live show</v>
      </c>
      <c r="E249" s="27" t="s">
        <v>853</v>
      </c>
      <c r="F249" s="27" t="s">
        <v>1931</v>
      </c>
      <c r="G249" s="27" t="s">
        <v>71</v>
      </c>
      <c r="H249" s="27" t="s">
        <v>2605</v>
      </c>
      <c r="I249" s="27" t="s">
        <v>2605</v>
      </c>
      <c r="J249" s="27">
        <v>8</v>
      </c>
      <c r="K249" s="27" t="s">
        <v>2607</v>
      </c>
      <c r="L249" s="27" t="s">
        <v>1689</v>
      </c>
      <c r="M249" s="27"/>
      <c r="N249" s="27"/>
      <c r="O249" s="27"/>
      <c r="P249" s="27"/>
      <c r="Q249" s="27" t="str" cm="1">
        <f t="array" ref="Q249">_xlfn.REGEXEXTRACT(B249,"(?&lt;=//)[^/]+")</f>
        <v>bdsmstreak.com</v>
      </c>
      <c r="R249" s="27" t="s">
        <v>685</v>
      </c>
      <c r="S249" s="27" t="s">
        <v>1750</v>
      </c>
      <c r="T249" s="27" t="str" cm="1">
        <f t="array" ref="T249">IF(S249&lt;&gt;"NotApplicable",_xlfn.REGEXEXTRACT(S249,"\d+(?=p)"),"NotApplicable")</f>
        <v>NotApplicable</v>
      </c>
      <c r="U249" s="27" t="s">
        <v>1750</v>
      </c>
      <c r="V249" s="27" t="b">
        <f>ISNUMBER(SEARCH(",",F249))</f>
        <v>1</v>
      </c>
    </row>
    <row r="250" spans="1:22" ht="30" x14ac:dyDescent="0.25">
      <c r="A250" s="27" t="str">
        <f>IF(ISBLANK(N250)=TRUE,"Pending","Done")</f>
        <v>Pending</v>
      </c>
      <c r="B250" s="27" t="s">
        <v>1688</v>
      </c>
      <c r="C250" s="27">
        <v>97</v>
      </c>
      <c r="D250" s="27" t="str">
        <f>SUBSTITUTE(TRIM(RIGHT(SUBSTITUTE(IF(RIGHT(B250,1)="/",LEFT(B250,LEN(B250)-1),B250),"/",REPT(" ",LEN(B250))),LEN(B250))),"-"," ")</f>
        <v>beretta james live show complete edited version</v>
      </c>
      <c r="E250" s="27" t="s">
        <v>853</v>
      </c>
      <c r="F250" s="27" t="s">
        <v>1600</v>
      </c>
      <c r="G250" s="27" t="s">
        <v>71</v>
      </c>
      <c r="H250" s="27" t="s">
        <v>2608</v>
      </c>
      <c r="I250" s="27" t="s">
        <v>2608</v>
      </c>
      <c r="J250" s="27" t="s">
        <v>1750</v>
      </c>
      <c r="K250" s="27" t="s">
        <v>1750</v>
      </c>
      <c r="L250" s="27" t="s">
        <v>1689</v>
      </c>
      <c r="M250" s="27"/>
      <c r="N250" s="27"/>
      <c r="O250" s="27"/>
      <c r="P250" s="27"/>
      <c r="Q250" s="27" t="str" cm="1">
        <f t="array" ref="Q250">_xlfn.REGEXEXTRACT(B250,"(?&lt;=//)[^/]+")</f>
        <v>bdsmstreak.com</v>
      </c>
      <c r="R250" s="27" t="s">
        <v>685</v>
      </c>
      <c r="S250" s="27" t="s">
        <v>1750</v>
      </c>
      <c r="T250" s="27" t="str" cm="1">
        <f t="array" ref="T250">IF(S250&lt;&gt;"NotApplicable",_xlfn.REGEXEXTRACT(S250,"\d+(?=p)"),"NotApplicable")</f>
        <v>NotApplicable</v>
      </c>
      <c r="U250" s="27" t="s">
        <v>1750</v>
      </c>
      <c r="V250" s="27" t="b">
        <f>ISNUMBER(SEARCH(",",F250))</f>
        <v>1</v>
      </c>
    </row>
    <row r="251" spans="1:22" ht="30" x14ac:dyDescent="0.25">
      <c r="A251" s="27" t="str">
        <f>IF(ISBLANK(N251)=TRUE,"Pending","Done")</f>
        <v>Pending</v>
      </c>
      <c r="B251" s="27" t="s">
        <v>1962</v>
      </c>
      <c r="C251" s="27">
        <v>20</v>
      </c>
      <c r="D251" s="27" t="str">
        <f>SUBSTITUTE(TRIM(RIGHT(SUBSTITUTE(IF(RIGHT(B251,1)="/",LEFT(B251,LEN(B251)-1),B251),"/",REPT(" ",LEN(B251))),LEN(B251))),"-"," ")</f>
        <v>omega fucks another tiny brunette into sub space2</v>
      </c>
      <c r="E251" s="27" t="s">
        <v>853</v>
      </c>
      <c r="F251" s="27" t="s">
        <v>1963</v>
      </c>
      <c r="G251" s="27" t="s">
        <v>70</v>
      </c>
      <c r="H251" s="27" t="s">
        <v>2610</v>
      </c>
      <c r="I251" s="27" t="s">
        <v>2610</v>
      </c>
      <c r="J251" s="27">
        <v>0</v>
      </c>
      <c r="K251" s="27" t="s">
        <v>1141</v>
      </c>
      <c r="L251" s="27"/>
      <c r="M251" s="27"/>
      <c r="N251" s="27"/>
      <c r="O251" s="27"/>
      <c r="P251" s="27"/>
      <c r="Q251" s="27" t="str" cm="1">
        <f t="array" ref="Q251">_xlfn.REGEXEXTRACT(B251,"(?&lt;=//)[^/]+")</f>
        <v>hcbdsm.com</v>
      </c>
      <c r="R251" s="27" t="s">
        <v>685</v>
      </c>
      <c r="S251" s="27" t="s">
        <v>1750</v>
      </c>
      <c r="T251" s="27" t="str" cm="1">
        <f t="array" ref="T251">IF(S251&lt;&gt;"NotApplicable",_xlfn.REGEXEXTRACT(S251,"\d+(?=p)"),"NotApplicable")</f>
        <v>NotApplicable</v>
      </c>
      <c r="U251" s="27" t="s">
        <v>1750</v>
      </c>
      <c r="V251" s="27" t="b">
        <f>ISNUMBER(SEARCH(",",F251))</f>
        <v>0</v>
      </c>
    </row>
    <row r="252" spans="1:22" ht="30" x14ac:dyDescent="0.25">
      <c r="A252" s="27" t="str">
        <f>IF(ISBLANK(N252)=TRUE,"Pending","Done")</f>
        <v>Pending</v>
      </c>
      <c r="B252" s="27" t="s">
        <v>2015</v>
      </c>
      <c r="C252" s="27">
        <v>23</v>
      </c>
      <c r="D252" s="27" t="str">
        <f>SUBSTITUTE(TRIM(RIGHT(SUBSTITUTE(IF(RIGHT(B252,1)="/",LEFT(B252,LEN(B252)-1),B252),"/",REPT(" ",LEN(B252))),LEN(B252))),"-"," ")</f>
        <v>sarah shevon the pile driver</v>
      </c>
      <c r="E252" s="27" t="s">
        <v>853</v>
      </c>
      <c r="F252" s="27" t="s">
        <v>2016</v>
      </c>
      <c r="G252" s="27" t="s">
        <v>70</v>
      </c>
      <c r="H252" s="27" t="s">
        <v>2611</v>
      </c>
      <c r="I252" s="27" t="s">
        <v>2611</v>
      </c>
      <c r="J252" s="27">
        <v>4</v>
      </c>
      <c r="K252" s="27" t="s">
        <v>2017</v>
      </c>
      <c r="L252" s="27"/>
      <c r="M252" s="27"/>
      <c r="N252" s="27"/>
      <c r="O252" s="27"/>
      <c r="P252" s="27"/>
      <c r="Q252" s="27" t="str" cm="1">
        <f t="array" ref="Q252">_xlfn.REGEXEXTRACT(B252,"(?&lt;=//)[^/]+")</f>
        <v>hcbdsm.com</v>
      </c>
      <c r="R252" s="27" t="s">
        <v>685</v>
      </c>
      <c r="S252" s="27" t="s">
        <v>1750</v>
      </c>
      <c r="T252" s="27" t="str" cm="1">
        <f t="array" ref="T252">IF(S252&lt;&gt;"NotApplicable",_xlfn.REGEXEXTRACT(S252,"\d+(?=p)"),"NotApplicable")</f>
        <v>NotApplicable</v>
      </c>
      <c r="U252" s="27" t="s">
        <v>1750</v>
      </c>
      <c r="V252" s="27" t="b">
        <f>ISNUMBER(SEARCH(",",F252))</f>
        <v>0</v>
      </c>
    </row>
    <row r="253" spans="1:22" ht="30" x14ac:dyDescent="0.25">
      <c r="A253" s="27" t="str">
        <f>IF(ISBLANK(N253)=TRUE,"Pending","Done")</f>
        <v>Pending</v>
      </c>
      <c r="B253" s="27" t="s">
        <v>1612</v>
      </c>
      <c r="C253" s="27">
        <v>25</v>
      </c>
      <c r="D253" s="27" t="str">
        <f>SUBSTITUTE(TRIM(RIGHT(SUBSTITUTE(IF(RIGHT(B253,1)="/",LEFT(B253,LEN(B253)-1),B253),"/",REPT(" ",LEN(B253))),LEN(B253))),"-"," ")</f>
        <v>bound by metal covered in wax fucked by machine</v>
      </c>
      <c r="E253" s="27" t="s">
        <v>853</v>
      </c>
      <c r="F253" s="27" t="s">
        <v>230</v>
      </c>
      <c r="G253" s="27" t="s">
        <v>70</v>
      </c>
      <c r="H253" s="27" t="s">
        <v>2612</v>
      </c>
      <c r="I253" s="27" t="s">
        <v>2612</v>
      </c>
      <c r="J253" s="27">
        <v>8</v>
      </c>
      <c r="K253" s="27" t="s">
        <v>2613</v>
      </c>
      <c r="L253" s="27"/>
      <c r="M253" s="27"/>
      <c r="N253" s="27"/>
      <c r="O253" s="27"/>
      <c r="P253" s="27" t="s">
        <v>1651</v>
      </c>
      <c r="Q253" s="27" t="str" cm="1">
        <f t="array" ref="Q253">_xlfn.REGEXEXTRACT(B253,"(?&lt;=//)[^/]+")</f>
        <v>bdsmstreak.com</v>
      </c>
      <c r="R253" s="27" t="s">
        <v>685</v>
      </c>
      <c r="S253" s="27" t="s">
        <v>1750</v>
      </c>
      <c r="T253" s="27" t="str" cm="1">
        <f t="array" ref="T253">IF(S253&lt;&gt;"NotApplicable",_xlfn.REGEXEXTRACT(S253,"\d+(?=p)"),"NotApplicable")</f>
        <v>NotApplicable</v>
      </c>
      <c r="U253" s="27" t="s">
        <v>1750</v>
      </c>
      <c r="V253" s="27" t="b">
        <f>ISNUMBER(SEARCH(",",F253))</f>
        <v>0</v>
      </c>
    </row>
    <row r="254" spans="1:22" ht="30" x14ac:dyDescent="0.25">
      <c r="A254" s="27" t="str">
        <f>IF(ISBLANK(N254)=TRUE,"Pending","Done")</f>
        <v>Pending</v>
      </c>
      <c r="B254" s="27" t="s">
        <v>1726</v>
      </c>
      <c r="C254" s="27">
        <v>36</v>
      </c>
      <c r="D254" s="27" t="str">
        <f>SUBSTITUTE(TRIM(RIGHT(SUBSTITUTE(IF(RIGHT(B254,1)="/",LEFT(B254,LEN(B254)-1),B254),"/",REPT(" ",LEN(B254))),LEN(B254))),"-"," ")</f>
        <v>machine fucked with zipper inducing orgasms</v>
      </c>
      <c r="E254" s="27" t="s">
        <v>853</v>
      </c>
      <c r="F254" s="27" t="s">
        <v>1617</v>
      </c>
      <c r="G254" s="27" t="s">
        <v>70</v>
      </c>
      <c r="H254" s="27" t="s">
        <v>2614</v>
      </c>
      <c r="I254" s="27" t="s">
        <v>2614</v>
      </c>
      <c r="J254" s="27" t="s">
        <v>1750</v>
      </c>
      <c r="K254" s="27" t="s">
        <v>1750</v>
      </c>
      <c r="L254" s="27" t="s">
        <v>1677</v>
      </c>
      <c r="M254" s="27"/>
      <c r="N254" s="27"/>
      <c r="O254" s="27"/>
      <c r="P254" s="27" t="s">
        <v>1618</v>
      </c>
      <c r="Q254" s="27" t="str" cm="1">
        <f t="array" ref="Q254">_xlfn.REGEXEXTRACT(B254,"(?&lt;=//)[^/]+")</f>
        <v>bdsmstreak.com</v>
      </c>
      <c r="R254" s="27" t="s">
        <v>685</v>
      </c>
      <c r="S254" s="27" t="s">
        <v>1750</v>
      </c>
      <c r="T254" s="27" t="str" cm="1">
        <f t="array" ref="T254">IF(S254&lt;&gt;"NotApplicable",_xlfn.REGEXEXTRACT(S254,"\d+(?=p)"),"NotApplicable")</f>
        <v>NotApplicable</v>
      </c>
      <c r="U254" s="27" t="s">
        <v>1750</v>
      </c>
      <c r="V254" s="27" t="b">
        <f>ISNUMBER(SEARCH(",",F254))</f>
        <v>1</v>
      </c>
    </row>
    <row r="255" spans="1:22" ht="30" x14ac:dyDescent="0.25">
      <c r="A255" s="27" t="str">
        <f>IF(ISBLANK(N255)=TRUE,"Pending","Done")</f>
        <v>Pending</v>
      </c>
      <c r="B255" s="27" t="s">
        <v>1933</v>
      </c>
      <c r="C255" s="27">
        <v>36</v>
      </c>
      <c r="D255" s="27" t="str">
        <f>SUBSTITUTE(TRIM(RIGHT(SUBSTITUTE(IF(RIGHT(B255,1)="/",LEFT(B255,LEN(B255)-1),B255),"/",REPT(" ",LEN(B255))),LEN(B255))),"-"," ")</f>
        <v>miss kitty</v>
      </c>
      <c r="E255" s="27" t="s">
        <v>853</v>
      </c>
      <c r="F255" s="27" t="s">
        <v>1331</v>
      </c>
      <c r="G255" s="27" t="s">
        <v>70</v>
      </c>
      <c r="H255" s="27" t="s">
        <v>2615</v>
      </c>
      <c r="I255" s="27" t="s">
        <v>2615</v>
      </c>
      <c r="J255" s="27">
        <v>2</v>
      </c>
      <c r="K255" s="27" t="s">
        <v>1934</v>
      </c>
      <c r="L255" s="27"/>
      <c r="M255" s="27"/>
      <c r="N255" s="27"/>
      <c r="O255" s="27"/>
      <c r="P255" s="27"/>
      <c r="Q255" s="27" t="str" cm="1">
        <f t="array" ref="Q255">_xlfn.REGEXEXTRACT(B255,"(?&lt;=//)[^/]+")</f>
        <v>bdsmstreak.com</v>
      </c>
      <c r="R255" s="27" t="s">
        <v>685</v>
      </c>
      <c r="S255" s="27" t="s">
        <v>1750</v>
      </c>
      <c r="T255" s="27" t="str" cm="1">
        <f t="array" ref="T255">IF(S255&lt;&gt;"NotApplicable",_xlfn.REGEXEXTRACT(S255,"\d+(?=p)"),"NotApplicable")</f>
        <v>NotApplicable</v>
      </c>
      <c r="U255" s="27" t="s">
        <v>1750</v>
      </c>
      <c r="V255" s="27" t="b">
        <f>ISNUMBER(SEARCH(",",F255))</f>
        <v>0</v>
      </c>
    </row>
    <row r="256" spans="1:22" ht="30" x14ac:dyDescent="0.25">
      <c r="A256" s="27" t="str">
        <f>IF(ISBLANK(N256)=TRUE,"Pending","Done")</f>
        <v>Pending</v>
      </c>
      <c r="B256" s="27" t="s">
        <v>1443</v>
      </c>
      <c r="C256" s="27">
        <v>37</v>
      </c>
      <c r="D256" s="27" t="str">
        <f>SUBSTITUTE(TRIM(RIGHT(SUBSTITUTE(IF(RIGHT(B256,1)="/",LEFT(B256,LEN(B256)-1),B256),"/",REPT(" ",LEN(B256))),LEN(B256))),"-"," ")</f>
        <v>newcomer loses her innocence</v>
      </c>
      <c r="E256" s="27" t="s">
        <v>853</v>
      </c>
      <c r="F256" s="27" t="s">
        <v>1442</v>
      </c>
      <c r="G256" s="27" t="s">
        <v>70</v>
      </c>
      <c r="H256" s="27" t="s">
        <v>2609</v>
      </c>
      <c r="I256" s="27" t="s">
        <v>2609</v>
      </c>
      <c r="J256" s="27" t="s">
        <v>1750</v>
      </c>
      <c r="K256" s="27" t="s">
        <v>1750</v>
      </c>
      <c r="L256" s="27"/>
      <c r="M256" s="27"/>
      <c r="N256" s="27"/>
      <c r="O256" s="27"/>
      <c r="P256" s="27" t="s">
        <v>1446</v>
      </c>
      <c r="Q256" s="27" t="str" cm="1">
        <f t="array" ref="Q256">_xlfn.REGEXEXTRACT(B256,"(?&lt;=//)[^/]+")</f>
        <v>bdsmstreak.com</v>
      </c>
      <c r="R256" s="27" t="s">
        <v>685</v>
      </c>
      <c r="S256" s="27" t="s">
        <v>1750</v>
      </c>
      <c r="T256" s="27" t="str" cm="1">
        <f t="array" ref="T256">IF(S256&lt;&gt;"NotApplicable",_xlfn.REGEXEXTRACT(S256,"\d+(?=p)"),"NotApplicable")</f>
        <v>NotApplicable</v>
      </c>
      <c r="U256" s="27" t="s">
        <v>1750</v>
      </c>
      <c r="V256" s="27" t="b">
        <f>ISNUMBER(SEARCH(",",F256))</f>
        <v>0</v>
      </c>
    </row>
    <row r="257" spans="1:22" ht="30" x14ac:dyDescent="0.25">
      <c r="A257" s="27" t="str">
        <f>IF(ISBLANK(N257)=TRUE,"Pending","Done")</f>
        <v>Pending</v>
      </c>
      <c r="B257" s="27" t="s">
        <v>1964</v>
      </c>
      <c r="C257" s="27">
        <v>41</v>
      </c>
      <c r="D257" s="27" t="str">
        <f>SUBSTITUTE(TRIM(RIGHT(SUBSTITUTE(IF(RIGHT(B257,1)="/",LEFT(B257,LEN(B257)-1),B257),"/",REPT(" ",LEN(B257))),LEN(B257))),"-"," ")</f>
        <v>one badass bitch mona wales</v>
      </c>
      <c r="E257" s="27" t="s">
        <v>853</v>
      </c>
      <c r="F257" s="27" t="s">
        <v>1965</v>
      </c>
      <c r="G257" s="27" t="s">
        <v>70</v>
      </c>
      <c r="H257" s="27" t="s">
        <v>2617</v>
      </c>
      <c r="I257" s="27" t="s">
        <v>2616</v>
      </c>
      <c r="J257" s="27">
        <v>6</v>
      </c>
      <c r="K257" s="27" t="s">
        <v>1654</v>
      </c>
      <c r="L257" s="27"/>
      <c r="M257" s="27"/>
      <c r="N257" s="27"/>
      <c r="O257" s="27"/>
      <c r="P257" s="27"/>
      <c r="Q257" s="27" t="str" cm="1">
        <f t="array" ref="Q257">_xlfn.REGEXEXTRACT(B257,"(?&lt;=//)[^/]+")</f>
        <v>hcbdsm.com</v>
      </c>
      <c r="R257" s="27" t="s">
        <v>685</v>
      </c>
      <c r="S257" s="27" t="s">
        <v>1750</v>
      </c>
      <c r="T257" s="27" t="str" cm="1">
        <f t="array" ref="T257">IF(S257&lt;&gt;"NotApplicable",_xlfn.REGEXEXTRACT(S257,"\d+(?=p)"),"NotApplicable")</f>
        <v>NotApplicable</v>
      </c>
      <c r="U257" s="27" t="s">
        <v>1750</v>
      </c>
      <c r="V257" s="27" t="b">
        <f>ISNUMBER(SEARCH(",",F257))</f>
        <v>0</v>
      </c>
    </row>
    <row r="258" spans="1:22" ht="45" x14ac:dyDescent="0.25">
      <c r="A258" s="27" t="str">
        <f>IF(ISBLANK(N258)=TRUE,"Pending","Done")</f>
        <v>Pending</v>
      </c>
      <c r="B258" s="27" t="s">
        <v>1866</v>
      </c>
      <c r="C258" s="27">
        <v>41</v>
      </c>
      <c r="D258" s="27" t="str">
        <f>SUBSTITUTE(TRIM(RIGHT(SUBSTITUTE(IF(RIGHT(B258,1)="/",LEFT(B258,LEN(B258)-1),B258),"/",REPT(" ",LEN(B258))),LEN(B258))),"-"," ")</f>
        <v>hot blond is caned ass fucked made to cum over and over4 doms brutally work the whore over</v>
      </c>
      <c r="E258" s="27" t="s">
        <v>853</v>
      </c>
      <c r="F258" s="27" t="s">
        <v>1867</v>
      </c>
      <c r="G258" s="27" t="s">
        <v>70</v>
      </c>
      <c r="H258" s="27" t="s">
        <v>2619</v>
      </c>
      <c r="I258" s="27" t="s">
        <v>2618</v>
      </c>
      <c r="J258" s="27">
        <v>3</v>
      </c>
      <c r="K258" s="27" t="s">
        <v>1654</v>
      </c>
      <c r="L258" s="27"/>
      <c r="M258" s="27"/>
      <c r="N258" s="27"/>
      <c r="O258" s="27"/>
      <c r="P258" s="27"/>
      <c r="Q258" s="27" t="str" cm="1">
        <f t="array" ref="Q258">_xlfn.REGEXEXTRACT(B258,"(?&lt;=//)[^/]+")</f>
        <v>bdsmstreak.com</v>
      </c>
      <c r="R258" s="27" t="s">
        <v>685</v>
      </c>
      <c r="S258" s="27" t="s">
        <v>1750</v>
      </c>
      <c r="T258" s="27" t="str" cm="1">
        <f t="array" ref="T258">IF(S258&lt;&gt;"NotApplicable",_xlfn.REGEXEXTRACT(S258,"\d+(?=p)"),"NotApplicable")</f>
        <v>NotApplicable</v>
      </c>
      <c r="U258" s="27" t="s">
        <v>1750</v>
      </c>
      <c r="V258" s="27" t="b">
        <f>ISNUMBER(SEARCH(",",F258))</f>
        <v>1</v>
      </c>
    </row>
    <row r="259" spans="1:22" ht="45" x14ac:dyDescent="0.25">
      <c r="A259" s="27" t="str">
        <f>IF(ISBLANK(N259)=TRUE,"Pending","Done")</f>
        <v>Pending</v>
      </c>
      <c r="B259" s="27" t="s">
        <v>2103</v>
      </c>
      <c r="C259" s="27">
        <v>42</v>
      </c>
      <c r="D259" s="27" t="str">
        <f>SUBSTITUTE(TRIM(RIGHT(SUBSTITUTE(IF(RIGHT(B259,1)="/",LEFT(B259,LEN(B259)-1),B259),"/",REPT(" ",LEN(B259))),LEN(B259))),"-"," ")</f>
        <v>tomi knox assaults fuck doll kristine kahill with creative devices and sadism</v>
      </c>
      <c r="E259" s="27" t="s">
        <v>853</v>
      </c>
      <c r="F259" s="27" t="s">
        <v>2104</v>
      </c>
      <c r="G259" s="27" t="s">
        <v>70</v>
      </c>
      <c r="H259" s="27" t="s">
        <v>2598</v>
      </c>
      <c r="I259" s="27" t="s">
        <v>2598</v>
      </c>
      <c r="J259" s="27">
        <v>6</v>
      </c>
      <c r="K259" s="27" t="s">
        <v>2105</v>
      </c>
      <c r="L259" s="27"/>
      <c r="M259" s="27"/>
      <c r="N259" s="27"/>
      <c r="O259" s="27"/>
      <c r="P259" s="27"/>
      <c r="Q259" s="27" t="str" cm="1">
        <f t="array" ref="Q259">_xlfn.REGEXEXTRACT(B259,"(?&lt;=//)[^/]+")</f>
        <v>bdsmstreak.com</v>
      </c>
      <c r="R259" s="27" t="s">
        <v>685</v>
      </c>
      <c r="S259" s="27" t="s">
        <v>1750</v>
      </c>
      <c r="T259" s="27" t="str" cm="1">
        <f t="array" ref="T259">IF(S259&lt;&gt;"NotApplicable",_xlfn.REGEXEXTRACT(S259,"\d+(?=p)"),"NotApplicable")</f>
        <v>NotApplicable</v>
      </c>
      <c r="U259" s="27" t="s">
        <v>1750</v>
      </c>
      <c r="V259" s="27" t="b">
        <f>ISNUMBER(SEARCH(",",F259))</f>
        <v>0</v>
      </c>
    </row>
    <row r="260" spans="1:22" ht="45" x14ac:dyDescent="0.25">
      <c r="A260" s="27" t="str">
        <f>IF(ISBLANK(N260)=TRUE,"Pending","Done")</f>
        <v>Pending</v>
      </c>
      <c r="B260" s="27" t="s">
        <v>1444</v>
      </c>
      <c r="C260" s="27">
        <v>43</v>
      </c>
      <c r="D260" s="27" t="str">
        <f>SUBSTITUTE(TRIM(RIGHT(SUBSTITUTE(IF(RIGHT(B260,1)="/",LEFT(B260,LEN(B260)-1),B260),"/",REPT(" ",LEN(B260))),LEN(B260))),"-"," ")</f>
        <v>jade indica oiled fucked bound and torturedcountdown to relaunch 5 of 20</v>
      </c>
      <c r="E260" s="27" t="s">
        <v>853</v>
      </c>
      <c r="F260" s="27" t="s">
        <v>228</v>
      </c>
      <c r="G260" s="27" t="s">
        <v>70</v>
      </c>
      <c r="H260" s="27" t="s">
        <v>2621</v>
      </c>
      <c r="I260" s="27" t="s">
        <v>2620</v>
      </c>
      <c r="J260" s="27" t="s">
        <v>1750</v>
      </c>
      <c r="K260" s="27" t="s">
        <v>1750</v>
      </c>
      <c r="L260" s="27"/>
      <c r="M260" s="27"/>
      <c r="N260" s="27"/>
      <c r="O260" s="27"/>
      <c r="P260" s="27" t="s">
        <v>1447</v>
      </c>
      <c r="Q260" s="27" t="str" cm="1">
        <f t="array" ref="Q260">_xlfn.REGEXEXTRACT(B260,"(?&lt;=//)[^/]+")</f>
        <v>bdsmstreak.com</v>
      </c>
      <c r="R260" s="27" t="s">
        <v>685</v>
      </c>
      <c r="S260" s="27" t="s">
        <v>1750</v>
      </c>
      <c r="T260" s="27" t="str" cm="1">
        <f t="array" ref="T260">IF(S260&lt;&gt;"NotApplicable",_xlfn.REGEXEXTRACT(S260,"\d+(?=p)"),"NotApplicable")</f>
        <v>NotApplicable</v>
      </c>
      <c r="U260" s="27" t="s">
        <v>1750</v>
      </c>
      <c r="V260" s="27" t="b">
        <f>ISNUMBER(SEARCH(",",F260))</f>
        <v>0</v>
      </c>
    </row>
    <row r="261" spans="1:22" ht="30" x14ac:dyDescent="0.25">
      <c r="A261" s="27" t="str">
        <f>IF(ISBLANK(N261)=TRUE,"Pending","Done")</f>
        <v>Pending</v>
      </c>
      <c r="B261" s="27" t="s">
        <v>1549</v>
      </c>
      <c r="C261" s="27">
        <v>43</v>
      </c>
      <c r="D261" s="27" t="str">
        <f>SUBSTITUTE(TRIM(RIGHT(SUBSTITUTE(IF(RIGHT(B261,1)="/",LEFT(B261,LEN(B261)-1),B261),"/",REPT(" ",LEN(B261))),LEN(B261))),"-"," ")</f>
        <v>beauty and the beast kristen scott vs the pope</v>
      </c>
      <c r="E261" s="27" t="s">
        <v>853</v>
      </c>
      <c r="F261" s="27" t="s">
        <v>1579</v>
      </c>
      <c r="G261" s="27" t="s">
        <v>70</v>
      </c>
      <c r="H261" s="27" t="s">
        <v>2623</v>
      </c>
      <c r="I261" s="27" t="s">
        <v>2622</v>
      </c>
      <c r="J261" s="27" t="s">
        <v>1750</v>
      </c>
      <c r="K261" s="27" t="s">
        <v>1750</v>
      </c>
      <c r="L261" s="27"/>
      <c r="M261" s="27"/>
      <c r="N261" s="27"/>
      <c r="O261" s="27"/>
      <c r="P261" s="27"/>
      <c r="Q261" s="27" t="str" cm="1">
        <f t="array" ref="Q261">_xlfn.REGEXEXTRACT(B261,"(?&lt;=//)[^/]+")</f>
        <v>bdsmstreak.com</v>
      </c>
      <c r="R261" s="27" t="s">
        <v>685</v>
      </c>
      <c r="S261" s="27" t="s">
        <v>1750</v>
      </c>
      <c r="T261" s="27" t="str" cm="1">
        <f t="array" ref="T261">IF(S261&lt;&gt;"NotApplicable",_xlfn.REGEXEXTRACT(S261,"\d+(?=p)"),"NotApplicable")</f>
        <v>NotApplicable</v>
      </c>
      <c r="U261" s="27" t="s">
        <v>1750</v>
      </c>
      <c r="V261" s="27" t="b">
        <f>ISNUMBER(SEARCH(",",F261))</f>
        <v>0</v>
      </c>
    </row>
    <row r="262" spans="1:22" ht="30" x14ac:dyDescent="0.25">
      <c r="A262" s="27" t="str">
        <f>IF(ISBLANK(N262)=TRUE,"Pending","Done")</f>
        <v>Pending</v>
      </c>
      <c r="B262" s="27" t="s">
        <v>1703</v>
      </c>
      <c r="C262" s="27">
        <v>21</v>
      </c>
      <c r="D262" s="27" t="str">
        <f>SUBSTITUTE(TRIM(RIGHT(SUBSTITUTE(IF(RIGHT(B262,1)="/",LEFT(B262,LEN(B262)-1),B262),"/",REPT(" ",LEN(B262))),LEN(B262))),"-"," ")</f>
        <v>elecro lezdom isis love opens audrey s tight asshole</v>
      </c>
      <c r="E262" s="27" t="s">
        <v>1450</v>
      </c>
      <c r="F262" s="27" t="s">
        <v>1451</v>
      </c>
      <c r="G262" s="27" t="s">
        <v>71</v>
      </c>
      <c r="H262" s="27" t="s">
        <v>2624</v>
      </c>
      <c r="I262" s="27" t="s">
        <v>2624</v>
      </c>
      <c r="J262" s="27" t="s">
        <v>1750</v>
      </c>
      <c r="K262" s="27" t="s">
        <v>1750</v>
      </c>
      <c r="L262" s="27" t="s">
        <v>1690</v>
      </c>
      <c r="M262" s="27"/>
      <c r="N262" s="27"/>
      <c r="O262" s="27"/>
      <c r="P262" s="27"/>
      <c r="Q262" s="27" t="str" cm="1">
        <f t="array" ref="Q262">_xlfn.REGEXEXTRACT(B262,"(?&lt;=//)[^/]+")</f>
        <v>hcbdsm.com</v>
      </c>
      <c r="R262" s="27" t="s">
        <v>685</v>
      </c>
      <c r="S262" s="27" t="s">
        <v>1750</v>
      </c>
      <c r="T262" s="27" t="str" cm="1">
        <f t="array" ref="T262">IF(S262&lt;&gt;"NotApplicable",_xlfn.REGEXEXTRACT(S262,"\d+(?=p)"),"NotApplicable")</f>
        <v>NotApplicable</v>
      </c>
      <c r="U262" s="27" t="s">
        <v>1750</v>
      </c>
      <c r="V262" s="27" t="b">
        <f>ISNUMBER(SEARCH(",",F262))</f>
        <v>1</v>
      </c>
    </row>
    <row r="263" spans="1:22" ht="45" x14ac:dyDescent="0.25">
      <c r="A263" s="27" t="str">
        <f>IF(ISBLANK(N263)=TRUE,"Pending","Done")</f>
        <v>Pending</v>
      </c>
      <c r="B263" s="27" t="s">
        <v>1956</v>
      </c>
      <c r="C263" s="27">
        <v>62</v>
      </c>
      <c r="D263" s="27" t="str">
        <f>SUBSTITUTE(TRIM(RIGHT(SUBSTITUTE(IF(RIGHT(B263,1)="/",LEFT(B263,LEN(B263)-1),B263),"/",REPT(" ",LEN(B263))),LEN(B263))),"-"," ")</f>
        <v>no holds barred daisy ducati shocks fucks lesbian pain slut</v>
      </c>
      <c r="E263" s="27" t="s">
        <v>1450</v>
      </c>
      <c r="F263" s="27" t="s">
        <v>1957</v>
      </c>
      <c r="G263" s="27" t="s">
        <v>71</v>
      </c>
      <c r="H263" s="27" t="s">
        <v>2625</v>
      </c>
      <c r="I263" s="27" t="s">
        <v>2625</v>
      </c>
      <c r="J263" s="27">
        <v>8</v>
      </c>
      <c r="K263" s="27" t="s">
        <v>1958</v>
      </c>
      <c r="L263" s="27"/>
      <c r="M263" s="27"/>
      <c r="N263" s="27"/>
      <c r="O263" s="27"/>
      <c r="P263" s="27"/>
      <c r="Q263" s="27" t="str" cm="1">
        <f t="array" ref="Q263">_xlfn.REGEXEXTRACT(B263,"(?&lt;=//)[^/]+")</f>
        <v>bdsmstreak.com</v>
      </c>
      <c r="R263" s="27" t="s">
        <v>685</v>
      </c>
      <c r="S263" s="27" t="s">
        <v>1750</v>
      </c>
      <c r="T263" s="27" t="str" cm="1">
        <f t="array" ref="T263">IF(S263&lt;&gt;"NotApplicable",_xlfn.REGEXEXTRACT(S263,"\d+(?=p)"),"NotApplicable")</f>
        <v>NotApplicable</v>
      </c>
      <c r="U263" s="27" t="s">
        <v>1750</v>
      </c>
      <c r="V263" s="27" t="b">
        <f>ISNUMBER(SEARCH(",",F263))</f>
        <v>1</v>
      </c>
    </row>
    <row r="264" spans="1:22" ht="30" x14ac:dyDescent="0.25">
      <c r="A264" s="27" t="str">
        <f>IF(ISBLANK(N264)=TRUE,"Pending","Done")</f>
        <v>Pending</v>
      </c>
      <c r="B264" s="27" t="s">
        <v>2067</v>
      </c>
      <c r="C264" s="27">
        <v>67</v>
      </c>
      <c r="D264" s="27" t="str">
        <f>SUBSTITUTE(TRIM(RIGHT(SUBSTITUTE(IF(RIGHT(B264,1)="/",LEFT(B264,LEN(B264)-1),B264),"/",REPT(" ",LEN(B264))),LEN(B264))),"-"," ")</f>
        <v>the intern</v>
      </c>
      <c r="E264" s="27" t="s">
        <v>1450</v>
      </c>
      <c r="F264" s="27" t="s">
        <v>2068</v>
      </c>
      <c r="G264" s="27" t="s">
        <v>71</v>
      </c>
      <c r="H264" s="27" t="s">
        <v>2626</v>
      </c>
      <c r="I264" s="27" t="s">
        <v>2626</v>
      </c>
      <c r="J264" s="27">
        <v>0</v>
      </c>
      <c r="K264" s="27" t="s">
        <v>1141</v>
      </c>
      <c r="L264" s="27"/>
      <c r="M264" s="27"/>
      <c r="N264" s="27"/>
      <c r="O264" s="27"/>
      <c r="P264" s="27"/>
      <c r="Q264" s="27" t="str" cm="1">
        <f t="array" ref="Q264">_xlfn.REGEXEXTRACT(B264,"(?&lt;=//)[^/]+")</f>
        <v>bdsmstreak.com</v>
      </c>
      <c r="R264" s="27" t="s">
        <v>685</v>
      </c>
      <c r="S264" s="27" t="s">
        <v>1750</v>
      </c>
      <c r="T264" s="27" t="str" cm="1">
        <f t="array" ref="T264">IF(S264&lt;&gt;"NotApplicable",_xlfn.REGEXEXTRACT(S264,"\d+(?=p)"),"NotApplicable")</f>
        <v>NotApplicable</v>
      </c>
      <c r="U264" s="27" t="s">
        <v>1750</v>
      </c>
      <c r="V264" s="27" t="b">
        <f>ISNUMBER(SEARCH(",",F264))</f>
        <v>1</v>
      </c>
    </row>
    <row r="265" spans="1:22" ht="30" x14ac:dyDescent="0.25">
      <c r="A265" s="27" t="str">
        <f>IF(ISBLANK(N265)=TRUE,"Pending","Done")</f>
        <v>Pending</v>
      </c>
      <c r="B265" s="27" t="s">
        <v>2059</v>
      </c>
      <c r="C265" s="27">
        <v>71</v>
      </c>
      <c r="D265" s="27" t="str">
        <f>SUBSTITUTE(TRIM(RIGHT(SUBSTITUTE(IF(RIGHT(B265,1)="/",LEFT(B265,LEN(B265)-1),B265),"/",REPT(" ",LEN(B265))),LEN(B265))),"-"," ")</f>
        <v>the electroslut next door</v>
      </c>
      <c r="E265" s="27" t="s">
        <v>1450</v>
      </c>
      <c r="F265" s="27" t="s">
        <v>2060</v>
      </c>
      <c r="G265" s="27" t="s">
        <v>71</v>
      </c>
      <c r="H265" s="27" t="s">
        <v>2628</v>
      </c>
      <c r="I265" s="27" t="s">
        <v>2628</v>
      </c>
      <c r="J265" s="27">
        <v>3</v>
      </c>
      <c r="K265" s="27" t="s">
        <v>2061</v>
      </c>
      <c r="L265" s="27"/>
      <c r="M265" s="27"/>
      <c r="N265" s="27"/>
      <c r="O265" s="27"/>
      <c r="P265" s="27"/>
      <c r="Q265" s="27" t="str" cm="1">
        <f t="array" ref="Q265">_xlfn.REGEXEXTRACT(B265,"(?&lt;=//)[^/]+")</f>
        <v>hcbdsm.com</v>
      </c>
      <c r="R265" s="27" t="s">
        <v>685</v>
      </c>
      <c r="S265" s="27" t="s">
        <v>1750</v>
      </c>
      <c r="T265" s="27" t="str" cm="1">
        <f t="array" ref="T265">IF(S265&lt;&gt;"NotApplicable",_xlfn.REGEXEXTRACT(S265,"\d+(?=p)"),"NotApplicable")</f>
        <v>NotApplicable</v>
      </c>
      <c r="U265" s="27" t="s">
        <v>1750</v>
      </c>
      <c r="V265" s="27" t="b">
        <f>ISNUMBER(SEARCH(",",F265))</f>
        <v>1</v>
      </c>
    </row>
    <row r="266" spans="1:22" ht="30" x14ac:dyDescent="0.25">
      <c r="A266" s="27" t="str">
        <f>IF(ISBLANK(N266)=TRUE,"Pending","Done")</f>
        <v>Pending</v>
      </c>
      <c r="B266" s="27" t="s">
        <v>1622</v>
      </c>
      <c r="C266" s="27">
        <v>77</v>
      </c>
      <c r="D266" s="27" t="str">
        <f>SUBSTITUTE(TRIM(RIGHT(SUBSTITUTE(IF(RIGHT(B266,1)="/",LEFT(B266,LEN(B266)-1),B266),"/",REPT(" ",LEN(B266))),LEN(B266))),"-"," ")</f>
        <v>blonde bombshell anal electrofucked live</v>
      </c>
      <c r="E266" s="27" t="s">
        <v>1450</v>
      </c>
      <c r="F266" s="27" t="s">
        <v>1638</v>
      </c>
      <c r="G266" s="27" t="s">
        <v>71</v>
      </c>
      <c r="H266" s="27" t="s">
        <v>2632</v>
      </c>
      <c r="I266" s="27" t="s">
        <v>2632</v>
      </c>
      <c r="J266" s="27" t="s">
        <v>1750</v>
      </c>
      <c r="K266" s="27" t="s">
        <v>1750</v>
      </c>
      <c r="L266" s="27" t="s">
        <v>1690</v>
      </c>
      <c r="M266" s="27"/>
      <c r="N266" s="27"/>
      <c r="O266" s="27"/>
      <c r="P266" s="27"/>
      <c r="Q266" s="27" t="str" cm="1">
        <f t="array" ref="Q266">_xlfn.REGEXEXTRACT(B266,"(?&lt;=//)[^/]+")</f>
        <v>bdsmstreak.com</v>
      </c>
      <c r="R266" s="27" t="s">
        <v>685</v>
      </c>
      <c r="S266" s="27" t="s">
        <v>1750</v>
      </c>
      <c r="T266" s="27" t="str" cm="1">
        <f t="array" ref="T266">IF(S266&lt;&gt;"NotApplicable",_xlfn.REGEXEXTRACT(S266,"\d+(?=p)"),"NotApplicable")</f>
        <v>NotApplicable</v>
      </c>
      <c r="U266" s="27" t="s">
        <v>1750</v>
      </c>
      <c r="V266" s="27" t="b">
        <f>ISNUMBER(SEARCH(",",F266))</f>
        <v>1</v>
      </c>
    </row>
    <row r="267" spans="1:22" ht="45" x14ac:dyDescent="0.25">
      <c r="A267" s="27" t="str">
        <f>IF(ISBLANK(N267)=TRUE,"Pending","Done")</f>
        <v>Pending</v>
      </c>
      <c r="B267" s="27" t="s">
        <v>2036</v>
      </c>
      <c r="C267" s="27">
        <v>55</v>
      </c>
      <c r="D267" s="27" t="str">
        <f>SUBSTITUTE(TRIM(RIGHT(SUBSTITUTE(IF(RIGHT(B267,1)="/",LEFT(B267,LEN(B267)-1),B267),"/",REPT(" ",LEN(B267))),LEN(B267))),"-"," ")</f>
        <v>stella cox learns the hard way not to mess with a dommes money</v>
      </c>
      <c r="E267" s="27" t="s">
        <v>851</v>
      </c>
      <c r="F267" s="27" t="s">
        <v>2037</v>
      </c>
      <c r="G267" s="27" t="s">
        <v>71</v>
      </c>
      <c r="H267" s="27" t="s">
        <v>2635</v>
      </c>
      <c r="I267" s="27" t="s">
        <v>2635</v>
      </c>
      <c r="J267" s="27">
        <v>4</v>
      </c>
      <c r="K267" s="27" t="s">
        <v>2038</v>
      </c>
      <c r="L267" s="27"/>
      <c r="M267" s="27"/>
      <c r="N267" s="27"/>
      <c r="O267" s="27"/>
      <c r="P267" s="27"/>
      <c r="Q267" s="27" t="str" cm="1">
        <f t="array" ref="Q267">_xlfn.REGEXEXTRACT(B267,"(?&lt;=//)[^/]+")</f>
        <v>bdsmstreak.com</v>
      </c>
      <c r="R267" s="27" t="s">
        <v>685</v>
      </c>
      <c r="S267" s="27" t="s">
        <v>1750</v>
      </c>
      <c r="T267" s="27" t="str" cm="1">
        <f t="array" ref="T267">IF(S267&lt;&gt;"NotApplicable",_xlfn.REGEXEXTRACT(S267,"\d+(?=p)"),"NotApplicable")</f>
        <v>NotApplicable</v>
      </c>
      <c r="U267" s="27" t="s">
        <v>1750</v>
      </c>
      <c r="V267" s="27" t="b">
        <f>ISNUMBER(SEARCH(",",F267))</f>
        <v>1</v>
      </c>
    </row>
    <row r="268" spans="1:22" ht="45" x14ac:dyDescent="0.25">
      <c r="A268" s="27" t="str">
        <f>IF(ISBLANK(N268)=TRUE,"Pending","Done")</f>
        <v>Pending</v>
      </c>
      <c r="B268" s="27" t="s">
        <v>1566</v>
      </c>
      <c r="C268" s="27">
        <v>77</v>
      </c>
      <c r="D268" s="27" t="str">
        <f>SUBSTITUTE(TRIM(RIGHT(SUBSTITUTE(IF(RIGHT(B268,1)="/",LEFT(B268,LEN(B268)-1),B268),"/",REPT(" ",LEN(B268))),LEN(B268))),"-"," ")</f>
        <v>bella rossi dispenses pain and pleasure to gabriella violet s asses</v>
      </c>
      <c r="E268" s="27" t="s">
        <v>851</v>
      </c>
      <c r="F268" s="27" t="s">
        <v>1592</v>
      </c>
      <c r="G268" s="27" t="s">
        <v>71</v>
      </c>
      <c r="H268" s="27" t="s">
        <v>2638</v>
      </c>
      <c r="I268" s="27" t="s">
        <v>2638</v>
      </c>
      <c r="J268" s="27" t="s">
        <v>1750</v>
      </c>
      <c r="K268" s="27" t="s">
        <v>1750</v>
      </c>
      <c r="L268" s="27" t="s">
        <v>1689</v>
      </c>
      <c r="M268" s="27"/>
      <c r="N268" s="27"/>
      <c r="O268" s="27"/>
      <c r="P268" s="27" t="s">
        <v>1604</v>
      </c>
      <c r="Q268" s="27" t="str" cm="1">
        <f t="array" ref="Q268">_xlfn.REGEXEXTRACT(B268,"(?&lt;=//)[^/]+")</f>
        <v>hcbdsm.com</v>
      </c>
      <c r="R268" s="27" t="s">
        <v>685</v>
      </c>
      <c r="S268" s="27" t="s">
        <v>1750</v>
      </c>
      <c r="T268" s="27" t="str" cm="1">
        <f t="array" ref="T268">IF(S268&lt;&gt;"NotApplicable",_xlfn.REGEXEXTRACT(S268,"\d+(?=p)"),"NotApplicable")</f>
        <v>NotApplicable</v>
      </c>
      <c r="U268" s="27" t="s">
        <v>1750</v>
      </c>
      <c r="V268" s="27" t="b">
        <f>ISNUMBER(SEARCH(",",F268))</f>
        <v>1</v>
      </c>
    </row>
    <row r="269" spans="1:22" ht="30" x14ac:dyDescent="0.25">
      <c r="A269" s="27" t="str">
        <f>IF(ISBLANK(N269)=TRUE,"Pending","Done")</f>
        <v>Pending</v>
      </c>
      <c r="B269" s="27" t="s">
        <v>1786</v>
      </c>
      <c r="C269" s="27">
        <v>78</v>
      </c>
      <c r="D269" s="27" t="str">
        <f>SUBSTITUTE(TRIM(RIGHT(SUBSTITUTE(IF(RIGHT(B269,1)="/",LEFT(B269,LEN(B269)-1),B269),"/",REPT(" ",LEN(B269))),LEN(B269))),"-"," ")</f>
        <v>come enema and anal domination</v>
      </c>
      <c r="E269" s="27" t="s">
        <v>851</v>
      </c>
      <c r="F269" s="27" t="s">
        <v>1787</v>
      </c>
      <c r="G269" s="27" t="s">
        <v>71</v>
      </c>
      <c r="H269" s="27" t="s">
        <v>2639</v>
      </c>
      <c r="I269" s="27" t="s">
        <v>2639</v>
      </c>
      <c r="J269" s="27">
        <v>3</v>
      </c>
      <c r="K269" s="27" t="s">
        <v>1603</v>
      </c>
      <c r="L269" s="27" t="s">
        <v>1715</v>
      </c>
      <c r="M269" s="27"/>
      <c r="N269" s="27"/>
      <c r="O269" s="27"/>
      <c r="P269" s="27"/>
      <c r="Q269" s="27" t="str" cm="1">
        <f t="array" ref="Q269">_xlfn.REGEXEXTRACT(B269,"(?&lt;=//)[^/]+")</f>
        <v>bdsmstreak.com</v>
      </c>
      <c r="R269" s="27" t="s">
        <v>685</v>
      </c>
      <c r="S269" s="27" t="s">
        <v>1750</v>
      </c>
      <c r="T269" s="27" t="str" cm="1">
        <f t="array" ref="T269">IF(S269&lt;&gt;"NotApplicable",_xlfn.REGEXEXTRACT(S269,"\d+(?=p)"),"NotApplicable")</f>
        <v>NotApplicable</v>
      </c>
      <c r="U269" s="27" t="s">
        <v>1750</v>
      </c>
      <c r="V269" s="27" t="b">
        <f>ISNUMBER(SEARCH(",",F269))</f>
        <v>1</v>
      </c>
    </row>
    <row r="270" spans="1:22" ht="30" x14ac:dyDescent="0.25">
      <c r="A270" s="27" t="str">
        <f>IF(ISBLANK(N270)=TRUE,"Pending","Done")</f>
        <v>Pending</v>
      </c>
      <c r="B270" s="27" t="s">
        <v>1711</v>
      </c>
      <c r="C270" s="27">
        <v>85</v>
      </c>
      <c r="D270" s="27" t="str">
        <f>SUBSTITUTE(TRIM(RIGHT(SUBSTITUTE(IF(RIGHT(B270,1)="/",LEFT(B270,LEN(B270)-1),B270),"/",REPT(" ",LEN(B270))),LEN(B270))),"-"," ")</f>
        <v>anal girls slumber holiday</v>
      </c>
      <c r="E270" s="27" t="s">
        <v>851</v>
      </c>
      <c r="F270" s="27" t="s">
        <v>1595</v>
      </c>
      <c r="G270" s="27" t="s">
        <v>71</v>
      </c>
      <c r="H270" s="27" t="s">
        <v>2629</v>
      </c>
      <c r="I270" s="27" t="s">
        <v>2629</v>
      </c>
      <c r="J270" s="27" t="s">
        <v>1750</v>
      </c>
      <c r="K270" s="27" t="s">
        <v>1750</v>
      </c>
      <c r="L270" s="27" t="s">
        <v>1689</v>
      </c>
      <c r="M270" s="27"/>
      <c r="N270" s="27"/>
      <c r="O270" s="27"/>
      <c r="P270" s="27" t="s">
        <v>1610</v>
      </c>
      <c r="Q270" s="27" t="str" cm="1">
        <f t="array" ref="Q270">_xlfn.REGEXEXTRACT(B270,"(?&lt;=//)[^/]+")</f>
        <v>bdsmstreak.com</v>
      </c>
      <c r="R270" s="27" t="s">
        <v>685</v>
      </c>
      <c r="S270" s="27" t="s">
        <v>1750</v>
      </c>
      <c r="T270" s="27" t="str" cm="1">
        <f t="array" ref="T270">IF(S270&lt;&gt;"NotApplicable",_xlfn.REGEXEXTRACT(S270,"\d+(?=p)"),"NotApplicable")</f>
        <v>NotApplicable</v>
      </c>
      <c r="U270" s="27" t="s">
        <v>1750</v>
      </c>
      <c r="V270" s="27" t="b">
        <f>ISNUMBER(SEARCH(",",F270))</f>
        <v>1</v>
      </c>
    </row>
    <row r="271" spans="1:22" ht="30" x14ac:dyDescent="0.25">
      <c r="A271" s="27" t="str">
        <f>IF(ISBLANK(N271)=TRUE,"Pending","Done")</f>
        <v>Pending</v>
      </c>
      <c r="B271" s="27" t="s">
        <v>1569</v>
      </c>
      <c r="C271" s="27">
        <v>90</v>
      </c>
      <c r="D271" s="27" t="str">
        <f>SUBSTITUTE(TRIM(RIGHT(SUBSTITUTE(IF(RIGHT(B271,1)="/",LEFT(B271,LEN(B271)-1),B271),"/",REPT(" ",LEN(B271))),LEN(B271))),"-"," ")</f>
        <v>ass fucking enemas galore bobbi starr ariel x2</v>
      </c>
      <c r="E271" s="27" t="s">
        <v>851</v>
      </c>
      <c r="F271" s="27" t="s">
        <v>1597</v>
      </c>
      <c r="G271" s="27" t="s">
        <v>71</v>
      </c>
      <c r="H271" s="27" t="s">
        <v>2640</v>
      </c>
      <c r="I271" s="27" t="s">
        <v>2640</v>
      </c>
      <c r="J271" s="27" t="s">
        <v>1750</v>
      </c>
      <c r="K271" s="27" t="s">
        <v>1750</v>
      </c>
      <c r="L271" s="27" t="s">
        <v>1690</v>
      </c>
      <c r="M271" s="27"/>
      <c r="N271" s="27"/>
      <c r="O271" s="27"/>
      <c r="P271" s="27" t="s">
        <v>1603</v>
      </c>
      <c r="Q271" s="27" t="str" cm="1">
        <f t="array" ref="Q271">_xlfn.REGEXEXTRACT(B271,"(?&lt;=//)[^/]+")</f>
        <v>hcbdsm.com</v>
      </c>
      <c r="R271" s="27" t="s">
        <v>685</v>
      </c>
      <c r="S271" s="27" t="s">
        <v>1750</v>
      </c>
      <c r="T271" s="27" t="str" cm="1">
        <f t="array" ref="T271">IF(S271&lt;&gt;"NotApplicable",_xlfn.REGEXEXTRACT(S271,"\d+(?=p)"),"NotApplicable")</f>
        <v>NotApplicable</v>
      </c>
      <c r="U271" s="27" t="s">
        <v>1750</v>
      </c>
      <c r="V271" s="27" t="b">
        <f>ISNUMBER(SEARCH(",",F271))</f>
        <v>1</v>
      </c>
    </row>
    <row r="272" spans="1:22" ht="45" x14ac:dyDescent="0.25">
      <c r="A272" s="27" t="str">
        <f>IF(ISBLANK(N272)=TRUE,"Pending","Done")</f>
        <v>Pending</v>
      </c>
      <c r="B272" s="27" t="s">
        <v>1704</v>
      </c>
      <c r="C272" s="27">
        <v>90</v>
      </c>
      <c r="D272" s="27" t="str">
        <f>SUBSTITUTE(TRIM(RIGHT(SUBSTITUTE(IF(RIGHT(B272,1)="/",LEFT(B272,LEN(B272)-1),B272),"/",REPT(" ",LEN(B272))),LEN(B272))),"-"," ")</f>
        <v>anal perversion</v>
      </c>
      <c r="E272" s="27" t="s">
        <v>851</v>
      </c>
      <c r="F272" s="27" t="s">
        <v>1596</v>
      </c>
      <c r="G272" s="27" t="s">
        <v>71</v>
      </c>
      <c r="H272" s="27" t="s">
        <v>2641</v>
      </c>
      <c r="I272" s="27" t="s">
        <v>2641</v>
      </c>
      <c r="J272" s="27" t="s">
        <v>1750</v>
      </c>
      <c r="K272" s="27" t="s">
        <v>1750</v>
      </c>
      <c r="L272" s="27" t="s">
        <v>1701</v>
      </c>
      <c r="M272" s="27"/>
      <c r="N272" s="27"/>
      <c r="O272" s="27"/>
      <c r="P272" s="27" t="s">
        <v>1610</v>
      </c>
      <c r="Q272" s="27" t="str" cm="1">
        <f t="array" ref="Q272">_xlfn.REGEXEXTRACT(B272,"(?&lt;=//)[^/]+")</f>
        <v>hcbdsm.com</v>
      </c>
      <c r="R272" s="27" t="s">
        <v>685</v>
      </c>
      <c r="S272" s="27" t="s">
        <v>1750</v>
      </c>
      <c r="T272" s="27" t="str" cm="1">
        <f t="array" ref="T272">IF(S272&lt;&gt;"NotApplicable",_xlfn.REGEXEXTRACT(S272,"\d+(?=p)"),"NotApplicable")</f>
        <v>NotApplicable</v>
      </c>
      <c r="U272" s="27" t="s">
        <v>1750</v>
      </c>
      <c r="V272" s="27" t="b">
        <f>ISNUMBER(SEARCH(",",F272))</f>
        <v>1</v>
      </c>
    </row>
    <row r="273" spans="1:22" ht="30" x14ac:dyDescent="0.25">
      <c r="A273" s="27" t="str">
        <f>IF(ISBLANK(N273)=TRUE,"Pending","Done")</f>
        <v>Pending</v>
      </c>
      <c r="B273" s="27" t="s">
        <v>1571</v>
      </c>
      <c r="C273" s="27">
        <v>94</v>
      </c>
      <c r="D273" s="27" t="str">
        <f>SUBSTITUTE(TRIM(RIGHT(SUBSTITUTE(IF(RIGHT(B273,1)="/",LEFT(B273,LEN(B273)-1),B273),"/",REPT(" ",LEN(B273))),LEN(B273))),"-"," ")</f>
        <v>anal action at its deepest hardest claire adams lorelei lee</v>
      </c>
      <c r="E273" s="27" t="s">
        <v>851</v>
      </c>
      <c r="F273" s="27" t="s">
        <v>1599</v>
      </c>
      <c r="G273" s="27" t="s">
        <v>71</v>
      </c>
      <c r="H273" s="27" t="s">
        <v>2642</v>
      </c>
      <c r="I273" s="27" t="s">
        <v>2642</v>
      </c>
      <c r="J273" s="27" t="s">
        <v>1750</v>
      </c>
      <c r="K273" s="27" t="s">
        <v>1750</v>
      </c>
      <c r="L273" s="27" t="s">
        <v>1690</v>
      </c>
      <c r="M273" s="27"/>
      <c r="N273" s="27"/>
      <c r="O273" s="27"/>
      <c r="P273" s="27" t="s">
        <v>1610</v>
      </c>
      <c r="Q273" s="27" t="str" cm="1">
        <f t="array" ref="Q273">_xlfn.REGEXEXTRACT(B273,"(?&lt;=//)[^/]+")</f>
        <v>bdsmstreak.com</v>
      </c>
      <c r="R273" s="27" t="s">
        <v>685</v>
      </c>
      <c r="S273" s="27" t="s">
        <v>1750</v>
      </c>
      <c r="T273" s="27" t="str" cm="1">
        <f t="array" ref="T273">IF(S273&lt;&gt;"NotApplicable",_xlfn.REGEXEXTRACT(S273,"\d+(?=p)"),"NotApplicable")</f>
        <v>NotApplicable</v>
      </c>
      <c r="U273" s="27" t="s">
        <v>1750</v>
      </c>
      <c r="V273" s="27" t="b">
        <f>ISNUMBER(SEARCH(",",F273))</f>
        <v>1</v>
      </c>
    </row>
    <row r="274" spans="1:22" ht="30" x14ac:dyDescent="0.25">
      <c r="A274" s="27" t="str">
        <f>IF(ISBLANK(N274)=TRUE,"Pending","Done")</f>
        <v>Pending</v>
      </c>
      <c r="B274" s="27" t="s">
        <v>1698</v>
      </c>
      <c r="C274" s="27">
        <v>104</v>
      </c>
      <c r="D274" s="27" t="str">
        <f>SUBSTITUTE(TRIM(RIGHT(SUBSTITUTE(IF(RIGHT(B274,1)="/",LEFT(B274,LEN(B274)-1),B274),"/",REPT(" ",LEN(B274))),LEN(B274))),"-"," ")</f>
        <v>anal exploring sexy slut gaia</v>
      </c>
      <c r="E274" s="27" t="s">
        <v>851</v>
      </c>
      <c r="F274" s="27" t="s">
        <v>1601</v>
      </c>
      <c r="G274" s="27" t="s">
        <v>71</v>
      </c>
      <c r="H274" s="27" t="s">
        <v>2630</v>
      </c>
      <c r="I274" s="27" t="s">
        <v>2630</v>
      </c>
      <c r="J274" s="27" t="s">
        <v>1750</v>
      </c>
      <c r="K274" s="27" t="s">
        <v>1750</v>
      </c>
      <c r="L274" s="27" t="s">
        <v>1690</v>
      </c>
      <c r="M274" s="27"/>
      <c r="N274" s="27"/>
      <c r="O274" s="27"/>
      <c r="P274" s="27" t="s">
        <v>1610</v>
      </c>
      <c r="Q274" s="27" t="str" cm="1">
        <f t="array" ref="Q274">_xlfn.REGEXEXTRACT(B274,"(?&lt;=//)[^/]+")</f>
        <v>bdsmstreak.com</v>
      </c>
      <c r="R274" s="27" t="s">
        <v>685</v>
      </c>
      <c r="S274" s="27" t="s">
        <v>1750</v>
      </c>
      <c r="T274" s="27" t="str" cm="1">
        <f t="array" ref="T274">IF(S274&lt;&gt;"NotApplicable",_xlfn.REGEXEXTRACT(S274,"\d+(?=p)"),"NotApplicable")</f>
        <v>NotApplicable</v>
      </c>
      <c r="U274" s="27" t="s">
        <v>1750</v>
      </c>
      <c r="V274" s="27" t="b">
        <f>ISNUMBER(SEARCH(",",F274))</f>
        <v>1</v>
      </c>
    </row>
    <row r="275" spans="1:22" ht="30" x14ac:dyDescent="0.25">
      <c r="A275" s="27" t="str">
        <f>IF(ISBLANK(N275)=TRUE,"Pending","Done")</f>
        <v>Pending</v>
      </c>
      <c r="B275" s="27" t="s">
        <v>2005</v>
      </c>
      <c r="C275" s="27">
        <v>20</v>
      </c>
      <c r="D275" s="27" t="str">
        <f>SUBSTITUTE(TRIM(RIGHT(SUBSTITUTE(IF(RIGHT(B275,1)="/",LEFT(B275,LEN(B275)-1),B275),"/",REPT(" ",LEN(B275))),LEN(B275))),"-"," ")</f>
        <v>rain degrey makes ashli orion cum in an inverted suspension3</v>
      </c>
      <c r="E275" s="27" t="s">
        <v>849</v>
      </c>
      <c r="F275" s="27" t="s">
        <v>2006</v>
      </c>
      <c r="G275" s="27" t="s">
        <v>71</v>
      </c>
      <c r="H275" s="27" t="s">
        <v>2643</v>
      </c>
      <c r="I275" s="27" t="s">
        <v>2643</v>
      </c>
      <c r="J275" s="27">
        <v>0</v>
      </c>
      <c r="K275" s="27" t="s">
        <v>1141</v>
      </c>
      <c r="L275" s="27" t="s">
        <v>1690</v>
      </c>
      <c r="M275" s="27"/>
      <c r="N275" s="27"/>
      <c r="O275" s="27"/>
      <c r="P275" s="27"/>
      <c r="Q275" s="27" t="str" cm="1">
        <f t="array" ref="Q275">_xlfn.REGEXEXTRACT(B275,"(?&lt;=//)[^/]+")</f>
        <v>hcbdsm.com</v>
      </c>
      <c r="R275" s="27" t="s">
        <v>685</v>
      </c>
      <c r="S275" s="27" t="s">
        <v>1750</v>
      </c>
      <c r="T275" s="27" t="str" cm="1">
        <f t="array" ref="T275">IF(S275&lt;&gt;"NotApplicable",_xlfn.REGEXEXTRACT(S275,"\d+(?=p)"),"NotApplicable")</f>
        <v>NotApplicable</v>
      </c>
      <c r="U275" s="27" t="s">
        <v>1750</v>
      </c>
      <c r="V275" s="27" t="b">
        <f>ISNUMBER(SEARCH(",",F275))</f>
        <v>1</v>
      </c>
    </row>
    <row r="276" spans="1:22" ht="45" x14ac:dyDescent="0.25">
      <c r="A276" s="27" t="str">
        <f>IF(ISBLANK(N276)=TRUE,"Pending","Done")</f>
        <v>Pending</v>
      </c>
      <c r="B276" s="27" t="s">
        <v>2048</v>
      </c>
      <c r="C276" s="27">
        <v>25</v>
      </c>
      <c r="D276" s="27" t="str">
        <f>SUBSTITUTE(TRIM(RIGHT(SUBSTITUTE(IF(RIGHT(B276,1)="/",LEFT(B276,LEN(B276)-1),B276),"/",REPT(" ",LEN(B276))),LEN(B276))),"-"," ")</f>
        <v>super cute blond is tormented cloths pins on her body are ripped off made to cum over and over</v>
      </c>
      <c r="E276" s="27" t="s">
        <v>849</v>
      </c>
      <c r="F276" s="27" t="s">
        <v>2049</v>
      </c>
      <c r="G276" s="27" t="s">
        <v>71</v>
      </c>
      <c r="H276" s="27" t="s">
        <v>2644</v>
      </c>
      <c r="I276" s="27" t="s">
        <v>2644</v>
      </c>
      <c r="J276" s="27">
        <v>0</v>
      </c>
      <c r="K276" s="27" t="s">
        <v>1690</v>
      </c>
      <c r="L276" s="27" t="s">
        <v>1690</v>
      </c>
      <c r="M276" s="27"/>
      <c r="N276" s="27"/>
      <c r="O276" s="27"/>
      <c r="P276" s="27"/>
      <c r="Q276" s="27" t="str" cm="1">
        <f t="array" ref="Q276">_xlfn.REGEXEXTRACT(B276,"(?&lt;=//)[^/]+")</f>
        <v>bdsmstreak.com</v>
      </c>
      <c r="R276" s="27" t="s">
        <v>685</v>
      </c>
      <c r="S276" s="27" t="s">
        <v>1750</v>
      </c>
      <c r="T276" s="27" t="str" cm="1">
        <f t="array" ref="T276">IF(S276&lt;&gt;"NotApplicable",_xlfn.REGEXEXTRACT(S276,"\d+(?=p)"),"NotApplicable")</f>
        <v>NotApplicable</v>
      </c>
      <c r="U276" s="27" t="s">
        <v>1750</v>
      </c>
      <c r="V276" s="27" t="b">
        <f>ISNUMBER(SEARCH(",",F276))</f>
        <v>1</v>
      </c>
    </row>
    <row r="277" spans="1:22" ht="30" x14ac:dyDescent="0.25">
      <c r="A277" s="27" t="str">
        <f>IF(ISBLANK(N277)=TRUE,"Pending","Done")</f>
        <v>Pending</v>
      </c>
      <c r="B277" s="27" t="s">
        <v>2113</v>
      </c>
      <c r="C277" s="27">
        <v>61</v>
      </c>
      <c r="D277" s="27" t="str">
        <f>SUBSTITUTE(TRIM(RIGHT(SUBSTITUTE(IF(RIGHT(B277,1)="/",LEFT(B277,LEN(B277)-1),B277),"/",REPT(" ",LEN(B277))),LEN(B277))),"-"," ")</f>
        <v>two cunts one game</v>
      </c>
      <c r="E277" s="27" t="s">
        <v>849</v>
      </c>
      <c r="F277" s="27" t="s">
        <v>2114</v>
      </c>
      <c r="G277" s="27" t="s">
        <v>71</v>
      </c>
      <c r="H277" s="27" t="s">
        <v>1750</v>
      </c>
      <c r="I277" s="27" t="s">
        <v>2631</v>
      </c>
      <c r="J277" s="27">
        <v>0</v>
      </c>
      <c r="K277" s="27" t="s">
        <v>1690</v>
      </c>
      <c r="L277" s="27" t="s">
        <v>1690</v>
      </c>
      <c r="M277" s="27"/>
      <c r="N277" s="27"/>
      <c r="O277" s="27"/>
      <c r="P277" s="27"/>
      <c r="Q277" s="27" t="str" cm="1">
        <f t="array" ref="Q277">_xlfn.REGEXEXTRACT(B277,"(?&lt;=//)[^/]+")</f>
        <v>bdsmstreak.com</v>
      </c>
      <c r="R277" s="27" t="s">
        <v>685</v>
      </c>
      <c r="S277" s="27" t="s">
        <v>1750</v>
      </c>
      <c r="T277" s="27" t="str" cm="1">
        <f t="array" ref="T277">IF(S277&lt;&gt;"NotApplicable",_xlfn.REGEXEXTRACT(S277,"\d+(?=p)"),"NotApplicable")</f>
        <v>NotApplicable</v>
      </c>
      <c r="U277" s="27" t="s">
        <v>1750</v>
      </c>
      <c r="V277" s="27" t="b">
        <f>ISNUMBER(SEARCH(",",F277))</f>
        <v>1</v>
      </c>
    </row>
    <row r="278" spans="1:22" ht="45" x14ac:dyDescent="0.25">
      <c r="A278" s="27" t="str">
        <f>IF(ISBLANK(N278)=TRUE,"Pending","Done")</f>
        <v>Pending</v>
      </c>
      <c r="B278" s="27" t="s">
        <v>1790</v>
      </c>
      <c r="C278" s="27">
        <v>44</v>
      </c>
      <c r="D278" s="27" t="str">
        <f>SUBSTITUTE(TRIM(RIGHT(SUBSTITUTE(IF(RIGHT(B278,1)="/",LEFT(B278,LEN(B278)-1),B278),"/",REPT(" ",LEN(B278))),LEN(B278))),"-"," ")</f>
        <v>cute red head plucked off the street hung upside down and double penetrated</v>
      </c>
      <c r="E278" s="27" t="s">
        <v>847</v>
      </c>
      <c r="F278" s="27" t="s">
        <v>1791</v>
      </c>
      <c r="G278" s="27" t="s">
        <v>71</v>
      </c>
      <c r="H278" s="27" t="s">
        <v>2645</v>
      </c>
      <c r="I278" s="27" t="s">
        <v>2645</v>
      </c>
      <c r="J278" s="27">
        <v>6</v>
      </c>
      <c r="K278" s="27" t="s">
        <v>1792</v>
      </c>
      <c r="L278" s="27" t="s">
        <v>2646</v>
      </c>
      <c r="M278" s="27"/>
      <c r="N278" s="27"/>
      <c r="O278" s="27"/>
      <c r="P278" s="27"/>
      <c r="Q278" s="27" t="str" cm="1">
        <f t="array" ref="Q278">_xlfn.REGEXEXTRACT(B278,"(?&lt;=//)[^/]+")</f>
        <v>bdsmstreak.com</v>
      </c>
      <c r="R278" s="27" t="s">
        <v>685</v>
      </c>
      <c r="S278" s="27" t="s">
        <v>1750</v>
      </c>
      <c r="T278" s="27" t="str" cm="1">
        <f t="array" ref="T278">IF(S278&lt;&gt;"NotApplicable",_xlfn.REGEXEXTRACT(S278,"\d+(?=p)"),"NotApplicable")</f>
        <v>NotApplicable</v>
      </c>
      <c r="U278" s="27" t="s">
        <v>1750</v>
      </c>
      <c r="V278" s="27" t="b">
        <f>ISNUMBER(SEARCH(",",F278))</f>
        <v>1</v>
      </c>
    </row>
    <row r="279" spans="1:22" ht="30" x14ac:dyDescent="0.25">
      <c r="A279" s="27" t="str">
        <f>IF(ISBLANK(N279)=TRUE,"Pending","Done")</f>
        <v>Pending</v>
      </c>
      <c r="B279" s="27" t="s">
        <v>1979</v>
      </c>
      <c r="C279" s="27">
        <v>48</v>
      </c>
      <c r="D279" s="27" t="str">
        <f>SUBSTITUTE(TRIM(RIGHT(SUBSTITUTE(IF(RIGHT(B279,1)="/",LEFT(B279,LEN(B279)-1),B279),"/",REPT(" ",LEN(B279))),LEN(B279))),"-"," ")</f>
        <v>petite bondage slut sensi pearl</v>
      </c>
      <c r="E279" s="27" t="s">
        <v>847</v>
      </c>
      <c r="F279" s="27" t="s">
        <v>1980</v>
      </c>
      <c r="G279" s="27" t="s">
        <v>71</v>
      </c>
      <c r="H279" s="27" t="s">
        <v>2647</v>
      </c>
      <c r="I279" s="27" t="s">
        <v>2647</v>
      </c>
      <c r="J279" s="27">
        <v>0</v>
      </c>
      <c r="K279" s="27" t="s">
        <v>1141</v>
      </c>
      <c r="L279" s="27" t="s">
        <v>1690</v>
      </c>
      <c r="M279" s="27"/>
      <c r="N279" s="27"/>
      <c r="O279" s="27"/>
      <c r="P279" s="27"/>
      <c r="Q279" s="27" t="str" cm="1">
        <f t="array" ref="Q279">_xlfn.REGEXEXTRACT(B279,"(?&lt;=//)[^/]+")</f>
        <v>bdsmstreak.com</v>
      </c>
      <c r="R279" s="27" t="s">
        <v>685</v>
      </c>
      <c r="S279" s="27" t="s">
        <v>1750</v>
      </c>
      <c r="T279" s="27" t="str" cm="1">
        <f t="array" ref="T279">IF(S279&lt;&gt;"NotApplicable",_xlfn.REGEXEXTRACT(S279,"\d+(?=p)"),"NotApplicable")</f>
        <v>NotApplicable</v>
      </c>
      <c r="U279" s="27" t="s">
        <v>1750</v>
      </c>
      <c r="V279" s="27" t="b">
        <f>ISNUMBER(SEARCH(",",F279))</f>
        <v>1</v>
      </c>
    </row>
    <row r="280" spans="1:22" ht="30" x14ac:dyDescent="0.25">
      <c r="A280" s="27" t="str">
        <f>IF(ISBLANK(N280)=TRUE,"Pending","Done")</f>
        <v>Pending</v>
      </c>
      <c r="B280" s="27" t="s">
        <v>1623</v>
      </c>
      <c r="C280" s="27">
        <v>56</v>
      </c>
      <c r="D280" s="27" t="str">
        <f>SUBSTITUTE(TRIM(RIGHT(SUBSTITUTE(IF(RIGHT(B280,1)="/",LEFT(B280,LEN(B280)-1),B280),"/",REPT(" ",LEN(B280))),LEN(B280))),"-"," ")</f>
        <v>blonde bombshell bound spanked and anally fisted</v>
      </c>
      <c r="E280" s="27" t="s">
        <v>847</v>
      </c>
      <c r="F280" s="27" t="s">
        <v>1639</v>
      </c>
      <c r="G280" s="27" t="s">
        <v>71</v>
      </c>
      <c r="H280" s="27" t="s">
        <v>2648</v>
      </c>
      <c r="I280" s="27" t="s">
        <v>2648</v>
      </c>
      <c r="J280" s="27" t="s">
        <v>1750</v>
      </c>
      <c r="K280" s="27" t="s">
        <v>1750</v>
      </c>
      <c r="L280" s="27" t="s">
        <v>1690</v>
      </c>
      <c r="M280" s="27"/>
      <c r="N280" s="27"/>
      <c r="O280" s="27"/>
      <c r="P280" s="27"/>
      <c r="Q280" s="27" t="str" cm="1">
        <f t="array" ref="Q280">_xlfn.REGEXEXTRACT(B280,"(?&lt;=//)[^/]+")</f>
        <v>bdsmstreak.com</v>
      </c>
      <c r="R280" s="27" t="s">
        <v>685</v>
      </c>
      <c r="S280" s="27" t="s">
        <v>1750</v>
      </c>
      <c r="T280" s="27" t="str" cm="1">
        <f t="array" ref="T280">IF(S280&lt;&gt;"NotApplicable",_xlfn.REGEXEXTRACT(S280,"\d+(?=p)"),"NotApplicable")</f>
        <v>NotApplicable</v>
      </c>
      <c r="U280" s="27" t="s">
        <v>1750</v>
      </c>
      <c r="V280" s="27" t="b">
        <f>ISNUMBER(SEARCH(",",F280))</f>
        <v>1</v>
      </c>
    </row>
    <row r="281" spans="1:22" ht="30" x14ac:dyDescent="0.25">
      <c r="A281" s="27" t="str">
        <f>IF(ISBLANK(N281)=TRUE,"Pending","Done")</f>
        <v>Pending</v>
      </c>
      <c r="B281" s="27" t="s">
        <v>2125</v>
      </c>
      <c r="C281" s="27">
        <v>61</v>
      </c>
      <c r="D281" s="27" t="str">
        <f>SUBSTITUTE(TRIM(RIGHT(SUBSTITUTE(IF(RIGHT(B281,1)="/",LEFT(B281,LEN(B281)-1),B281),"/",REPT(" ",LEN(B281))),LEN(B281))),"-"," ")</f>
        <v>wenona suffers</v>
      </c>
      <c r="E281" s="27" t="s">
        <v>847</v>
      </c>
      <c r="F281" s="27" t="s">
        <v>2126</v>
      </c>
      <c r="G281" s="27" t="s">
        <v>71</v>
      </c>
      <c r="H281" s="27" t="s">
        <v>2627</v>
      </c>
      <c r="I281" s="27" t="s">
        <v>2627</v>
      </c>
      <c r="J281" s="27">
        <v>5</v>
      </c>
      <c r="K281" s="27" t="s">
        <v>1925</v>
      </c>
      <c r="L281" s="27" t="s">
        <v>1690</v>
      </c>
      <c r="M281" s="27"/>
      <c r="N281" s="27"/>
      <c r="O281" s="27"/>
      <c r="P281" s="27"/>
      <c r="Q281" s="27" t="str" cm="1">
        <f t="array" ref="Q281">_xlfn.REGEXEXTRACT(B281,"(?&lt;=//)[^/]+")</f>
        <v>bdsmstreak.com</v>
      </c>
      <c r="R281" s="27" t="s">
        <v>685</v>
      </c>
      <c r="S281" s="27" t="s">
        <v>1750</v>
      </c>
      <c r="T281" s="27" t="str" cm="1">
        <f t="array" ref="T281">IF(S281&lt;&gt;"NotApplicable",_xlfn.REGEXEXTRACT(S281,"\d+(?=p)"),"NotApplicable")</f>
        <v>NotApplicable</v>
      </c>
      <c r="U281" s="27" t="s">
        <v>1750</v>
      </c>
      <c r="V281" s="27" t="b">
        <f>ISNUMBER(SEARCH(",",F281))</f>
        <v>1</v>
      </c>
    </row>
    <row r="282" spans="1:22" ht="30" x14ac:dyDescent="0.25">
      <c r="A282" s="27" t="str">
        <f>IF(ISBLANK(N282)=TRUE,"Pending","Done")</f>
        <v>Pending</v>
      </c>
      <c r="B282" s="27" t="s">
        <v>1562</v>
      </c>
      <c r="C282" s="27">
        <v>63</v>
      </c>
      <c r="D282" s="27" t="str">
        <f>SUBSTITUTE(TRIM(RIGHT(SUBSTITUTE(IF(RIGHT(B282,1)="/",LEFT(B282,LEN(B282)-1),B282),"/",REPT(" ",LEN(B282))),LEN(B282))),"-"," ")</f>
        <v>whipped ass alexa von tess and sandra romain</v>
      </c>
      <c r="E282" s="27" t="s">
        <v>847</v>
      </c>
      <c r="F282" s="27" t="s">
        <v>1588</v>
      </c>
      <c r="G282" s="27" t="s">
        <v>71</v>
      </c>
      <c r="H282" s="27" t="s">
        <v>2650</v>
      </c>
      <c r="I282" s="27" t="s">
        <v>2649</v>
      </c>
      <c r="J282" s="27" t="s">
        <v>1750</v>
      </c>
      <c r="K282" s="27" t="s">
        <v>1750</v>
      </c>
      <c r="L282" s="27" t="s">
        <v>1690</v>
      </c>
      <c r="M282" s="27"/>
      <c r="N282" s="27"/>
      <c r="O282" s="27"/>
      <c r="P282" s="27" t="s">
        <v>1463</v>
      </c>
      <c r="Q282" s="27" t="str" cm="1">
        <f t="array" ref="Q282">_xlfn.REGEXEXTRACT(B282,"(?&lt;=//)[^/]+")</f>
        <v>heavyfetish.com</v>
      </c>
      <c r="R282" s="27" t="s">
        <v>685</v>
      </c>
      <c r="S282" s="27" t="s">
        <v>1750</v>
      </c>
      <c r="T282" s="27" t="str" cm="1">
        <f t="array" ref="T282">IF(S282&lt;&gt;"NotApplicable",_xlfn.REGEXEXTRACT(S282,"\d+(?=p)"),"NotApplicable")</f>
        <v>NotApplicable</v>
      </c>
      <c r="U282" s="27" t="s">
        <v>1750</v>
      </c>
      <c r="V282" s="27" t="b">
        <f>ISNUMBER(SEARCH(",",F282))</f>
        <v>1</v>
      </c>
    </row>
    <row r="283" spans="1:22" ht="45" x14ac:dyDescent="0.25">
      <c r="A283" s="27" t="str">
        <f>IF(ISBLANK(N283)=TRUE,"Pending","Done")</f>
        <v>Pending</v>
      </c>
      <c r="B283" s="27" t="s">
        <v>1473</v>
      </c>
      <c r="C283" s="27">
        <v>63</v>
      </c>
      <c r="D283" s="27" t="str">
        <f>SUBSTITUTE(TRIM(RIGHT(SUBSTITUTE(IF(RIGHT(B283,1)="/",LEFT(B283,LEN(B283)-1),B283),"/",REPT(" ",LEN(B283))),LEN(B283))),"-"," ")</f>
        <v>1 blonde 1 brunette 1 redhead hot lesbian punishment and sex</v>
      </c>
      <c r="E283" s="27" t="s">
        <v>847</v>
      </c>
      <c r="F283" s="27" t="s">
        <v>1611</v>
      </c>
      <c r="G283" s="27" t="s">
        <v>71</v>
      </c>
      <c r="H283" s="27" t="s">
        <v>2652</v>
      </c>
      <c r="I283" s="27" t="s">
        <v>2651</v>
      </c>
      <c r="J283" s="27" t="s">
        <v>1750</v>
      </c>
      <c r="K283" s="27" t="s">
        <v>1750</v>
      </c>
      <c r="L283" s="27" t="s">
        <v>1701</v>
      </c>
      <c r="M283" s="27"/>
      <c r="N283" s="27"/>
      <c r="O283" s="27"/>
      <c r="P283" s="27"/>
      <c r="Q283" s="27" t="str" cm="1">
        <f t="array" ref="Q283">_xlfn.REGEXEXTRACT(B283,"(?&lt;=//)[^/]+")</f>
        <v>bdsmstreak.com</v>
      </c>
      <c r="R283" s="27" t="s">
        <v>685</v>
      </c>
      <c r="S283" s="27" t="s">
        <v>1750</v>
      </c>
      <c r="T283" s="27" t="str" cm="1">
        <f t="array" ref="T283">IF(S283&lt;&gt;"NotApplicable",_xlfn.REGEXEXTRACT(S283,"\d+(?=p)"),"NotApplicable")</f>
        <v>NotApplicable</v>
      </c>
      <c r="U283" s="27" t="s">
        <v>1750</v>
      </c>
      <c r="V283" s="27" t="b">
        <f>ISNUMBER(SEARCH(",",F283))</f>
        <v>1</v>
      </c>
    </row>
    <row r="284" spans="1:22" ht="45" x14ac:dyDescent="0.25">
      <c r="A284" s="27" t="str">
        <f>IF(ISBLANK(N284)=TRUE,"Pending","Done")</f>
        <v>Pending</v>
      </c>
      <c r="B284" s="27" t="s">
        <v>1839</v>
      </c>
      <c r="C284" s="27">
        <v>63</v>
      </c>
      <c r="D284" s="27" t="str">
        <f>SUBSTITUTE(TRIM(RIGHT(SUBSTITUTE(IF(RIGHT(B284,1)="/",LEFT(B284,LEN(B284)-1),B284),"/",REPT(" ",LEN(B284))),LEN(B284))),"-"," ")</f>
        <v>first kinky lesbian experience</v>
      </c>
      <c r="E284" s="27" t="s">
        <v>847</v>
      </c>
      <c r="F284" s="27" t="s">
        <v>1840</v>
      </c>
      <c r="G284" s="27" t="s">
        <v>71</v>
      </c>
      <c r="H284" s="27" t="s">
        <v>2653</v>
      </c>
      <c r="I284" s="27" t="s">
        <v>2653</v>
      </c>
      <c r="J284" s="27">
        <v>4</v>
      </c>
      <c r="K284" s="27" t="s">
        <v>1841</v>
      </c>
      <c r="L284" s="27" t="s">
        <v>1690</v>
      </c>
      <c r="M284" s="27"/>
      <c r="N284" s="27"/>
      <c r="O284" s="27"/>
      <c r="P284" s="27"/>
      <c r="Q284" s="27" t="str" cm="1">
        <f t="array" ref="Q284">_xlfn.REGEXEXTRACT(B284,"(?&lt;=//)[^/]+")</f>
        <v>bdsmstreak.com</v>
      </c>
      <c r="R284" s="27" t="s">
        <v>685</v>
      </c>
      <c r="S284" s="27" t="s">
        <v>1750</v>
      </c>
      <c r="T284" s="27" t="str" cm="1">
        <f t="array" ref="T284">IF(S284&lt;&gt;"NotApplicable",_xlfn.REGEXEXTRACT(S284,"\d+(?=p)"),"NotApplicable")</f>
        <v>NotApplicable</v>
      </c>
      <c r="U284" s="27" t="s">
        <v>1750</v>
      </c>
      <c r="V284" s="27" t="b">
        <f>ISNUMBER(SEARCH(",",F284))</f>
        <v>1</v>
      </c>
    </row>
    <row r="285" spans="1:22" ht="45" x14ac:dyDescent="0.25">
      <c r="A285" s="27" t="str">
        <f>IF(ISBLANK(N285)=TRUE,"Pending","Done")</f>
        <v>Pending</v>
      </c>
      <c r="B285" s="27" t="s">
        <v>1441</v>
      </c>
      <c r="C285" s="27">
        <v>65</v>
      </c>
      <c r="D285" s="27" t="str">
        <f>SUBSTITUTE(TRIM(RIGHT(SUBSTITUTE(IF(RIGHT(B285,1)="/",LEFT(B285,LEN(B285)-1),B285),"/",REPT(" ",LEN(B285))),LEN(B285))),"-"," ")</f>
        <v>12 01 13 17365 lorelei lee remy lacroix popping her lesbian cherry</v>
      </c>
      <c r="E285" s="27" t="s">
        <v>847</v>
      </c>
      <c r="F285" s="27" t="s">
        <v>1440</v>
      </c>
      <c r="G285" s="27" t="s">
        <v>71</v>
      </c>
      <c r="H285" s="27" t="s">
        <v>2655</v>
      </c>
      <c r="I285" s="27" t="s">
        <v>2660</v>
      </c>
      <c r="J285" s="27" t="s">
        <v>1750</v>
      </c>
      <c r="K285" s="27" t="s">
        <v>1750</v>
      </c>
      <c r="L285" s="27" t="s">
        <v>1690</v>
      </c>
      <c r="M285" s="27"/>
      <c r="N285" s="27"/>
      <c r="O285" s="27"/>
      <c r="P285" s="27"/>
      <c r="Q285" s="27" t="str" cm="1">
        <f t="array" ref="Q285">_xlfn.REGEXEXTRACT(B285,"(?&lt;=//)[^/]+")</f>
        <v>bdsmmansion.com</v>
      </c>
      <c r="R285" s="27" t="s">
        <v>685</v>
      </c>
      <c r="S285" s="27" t="s">
        <v>1750</v>
      </c>
      <c r="T285" s="27" t="str" cm="1">
        <f t="array" ref="T285">IF(S285&lt;&gt;"NotApplicable",_xlfn.REGEXEXTRACT(S285,"\d+(?=p)"),"NotApplicable")</f>
        <v>NotApplicable</v>
      </c>
      <c r="U285" s="27" t="s">
        <v>1750</v>
      </c>
      <c r="V285" s="27" t="b">
        <f>ISNUMBER(SEARCH(",",F285))</f>
        <v>1</v>
      </c>
    </row>
    <row r="286" spans="1:22" ht="30" x14ac:dyDescent="0.25">
      <c r="A286" s="27" t="str">
        <f>IF(ISBLANK(N286)=TRUE,"Pending","Done")</f>
        <v>Pending</v>
      </c>
      <c r="B286" s="27" t="s">
        <v>1919</v>
      </c>
      <c r="C286" s="27">
        <v>66</v>
      </c>
      <c r="D286" s="27" t="str">
        <f>SUBSTITUTE(TRIM(RIGHT(SUBSTITUTE(IF(RIGHT(B286,1)="/",LEFT(B286,LEN(B286)-1),B286),"/",REPT(" ",LEN(B286))),LEN(B286))),"-"," ")</f>
        <v>09 09 11 7084 aiden starr marie mccray marie mccray</v>
      </c>
      <c r="E286" s="27" t="s">
        <v>847</v>
      </c>
      <c r="F286" s="27" t="s">
        <v>1920</v>
      </c>
      <c r="G286" s="27" t="s">
        <v>71</v>
      </c>
      <c r="H286" s="27" t="s">
        <v>2656</v>
      </c>
      <c r="I286" s="27" t="s">
        <v>2661</v>
      </c>
      <c r="J286" s="27">
        <v>0</v>
      </c>
      <c r="K286" s="27" t="s">
        <v>1141</v>
      </c>
      <c r="L286" s="27" t="s">
        <v>1690</v>
      </c>
      <c r="M286" s="27"/>
      <c r="N286" s="27"/>
      <c r="O286" s="27"/>
      <c r="P286" s="27"/>
      <c r="Q286" s="27" t="str" cm="1">
        <f t="array" ref="Q286">_xlfn.REGEXEXTRACT(B286,"(?&lt;=//)[^/]+")</f>
        <v>bdsmmansion.com</v>
      </c>
      <c r="R286" s="27" t="s">
        <v>685</v>
      </c>
      <c r="S286" s="27" t="s">
        <v>1750</v>
      </c>
      <c r="T286" s="27" t="str" cm="1">
        <f t="array" ref="T286">IF(S286&lt;&gt;"NotApplicable",_xlfn.REGEXEXTRACT(S286,"\d+(?=p)"),"NotApplicable")</f>
        <v>NotApplicable</v>
      </c>
      <c r="U286" s="27" t="s">
        <v>1750</v>
      </c>
      <c r="V286" s="27" t="b">
        <f>ISNUMBER(SEARCH(",",F286))</f>
        <v>1</v>
      </c>
    </row>
    <row r="287" spans="1:22" ht="30" x14ac:dyDescent="0.25">
      <c r="A287" s="27" t="str">
        <f>IF(ISBLANK(N287)=TRUE,"Pending","Done")</f>
        <v>Pending</v>
      </c>
      <c r="B287" s="27" t="s">
        <v>1628</v>
      </c>
      <c r="C287" s="27">
        <v>71</v>
      </c>
      <c r="D287" s="27" t="str">
        <f>SUBSTITUTE(TRIM(RIGHT(SUBSTITUTE(IF(RIGHT(B287,1)="/",LEFT(B287,LEN(B287)-1),B287),"/",REPT(" ",LEN(B287))),LEN(B287))),"-"," ")</f>
        <v>brunettes have more fun 34 sweet revenge 342</v>
      </c>
      <c r="E287" s="27" t="s">
        <v>847</v>
      </c>
      <c r="F287" s="27" t="s">
        <v>1643</v>
      </c>
      <c r="G287" s="27" t="s">
        <v>71</v>
      </c>
      <c r="H287" s="27" t="s">
        <v>2657</v>
      </c>
      <c r="I287" s="27" t="s">
        <v>2657</v>
      </c>
      <c r="J287" s="27" t="s">
        <v>1750</v>
      </c>
      <c r="K287" s="27" t="s">
        <v>1750</v>
      </c>
      <c r="L287" s="27" t="s">
        <v>1701</v>
      </c>
      <c r="M287" s="27"/>
      <c r="N287" s="27"/>
      <c r="O287" s="27"/>
      <c r="P287" s="27"/>
      <c r="Q287" s="27" t="str" cm="1">
        <f t="array" ref="Q287">_xlfn.REGEXEXTRACT(B287,"(?&lt;=//)[^/]+")</f>
        <v>hcbdsm.com</v>
      </c>
      <c r="R287" s="27" t="s">
        <v>685</v>
      </c>
      <c r="S287" s="27" t="s">
        <v>1750</v>
      </c>
      <c r="T287" s="27" t="str" cm="1">
        <f t="array" ref="T287">IF(S287&lt;&gt;"NotApplicable",_xlfn.REGEXEXTRACT(S287,"\d+(?=p)"),"NotApplicable")</f>
        <v>NotApplicable</v>
      </c>
      <c r="U287" s="27" t="s">
        <v>1750</v>
      </c>
      <c r="V287" s="27" t="b">
        <f>ISNUMBER(SEARCH(",",F287))</f>
        <v>1</v>
      </c>
    </row>
    <row r="288" spans="1:22" ht="30" x14ac:dyDescent="0.25">
      <c r="A288" s="27" t="str">
        <f>IF(ISBLANK(N288)=TRUE,"Pending","Done")</f>
        <v>Pending</v>
      </c>
      <c r="B288" s="27" t="s">
        <v>1769</v>
      </c>
      <c r="C288" s="27">
        <v>71</v>
      </c>
      <c r="D288" s="27" t="str">
        <f>SUBSTITUTE(TRIM(RIGHT(SUBSTITUTE(IF(RIGHT(B288,1)="/",LEFT(B288,LEN(B288)-1),B288),"/",REPT(" ",LEN(B288))),LEN(B288))),"-"," ")</f>
        <v>chanel prestons hot new play thing</v>
      </c>
      <c r="E288" s="27" t="s">
        <v>847</v>
      </c>
      <c r="F288" s="27" t="s">
        <v>1770</v>
      </c>
      <c r="G288" s="27" t="s">
        <v>71</v>
      </c>
      <c r="H288" s="27" t="s">
        <v>2658</v>
      </c>
      <c r="I288" s="27" t="s">
        <v>2658</v>
      </c>
      <c r="J288" s="27">
        <v>0</v>
      </c>
      <c r="K288" s="27" t="s">
        <v>1141</v>
      </c>
      <c r="L288" s="27" t="s">
        <v>1690</v>
      </c>
      <c r="M288" s="27"/>
      <c r="N288" s="27"/>
      <c r="O288" s="27"/>
      <c r="P288" s="27"/>
      <c r="Q288" s="27" t="str" cm="1">
        <f t="array" ref="Q288">_xlfn.REGEXEXTRACT(B288,"(?&lt;=//)[^/]+")</f>
        <v>bdsmstreak.com</v>
      </c>
      <c r="R288" s="27" t="s">
        <v>685</v>
      </c>
      <c r="S288" s="27" t="s">
        <v>1750</v>
      </c>
      <c r="T288" s="27" t="str" cm="1">
        <f t="array" ref="T288">IF(S288&lt;&gt;"NotApplicable",_xlfn.REGEXEXTRACT(S288,"\d+(?=p)"),"NotApplicable")</f>
        <v>NotApplicable</v>
      </c>
      <c r="U288" s="27" t="s">
        <v>1750</v>
      </c>
      <c r="V288" s="27" t="b">
        <f>ISNUMBER(SEARCH(",",F288))</f>
        <v>1</v>
      </c>
    </row>
    <row r="289" spans="1:22" ht="45" x14ac:dyDescent="0.25">
      <c r="A289" s="27" t="str">
        <f>IF(ISBLANK(N289)=TRUE,"Pending","Done")</f>
        <v>Pending</v>
      </c>
      <c r="B289" s="27" t="s">
        <v>1479</v>
      </c>
      <c r="C289" s="27">
        <v>74</v>
      </c>
      <c r="D289" s="27" t="str">
        <f>SUBSTITUTE(TRIM(RIGHT(SUBSTITUTE(IF(RIGHT(B289,1)="/",LEFT(B289,LEN(B289)-1),B289),"/",REPT(" ",LEN(B289))),LEN(B289))),"-"," ")</f>
        <v>11 05 19 12756 bobbi starr felony a few of felony s favorite things</v>
      </c>
      <c r="E289" s="27" t="s">
        <v>847</v>
      </c>
      <c r="F289" s="27" t="s">
        <v>1476</v>
      </c>
      <c r="G289" s="27" t="s">
        <v>71</v>
      </c>
      <c r="H289" s="27" t="s">
        <v>2662</v>
      </c>
      <c r="I289" s="27" t="s">
        <v>2659</v>
      </c>
      <c r="J289" s="27" t="s">
        <v>1750</v>
      </c>
      <c r="K289" s="27" t="s">
        <v>1750</v>
      </c>
      <c r="L289" s="27" t="s">
        <v>1690</v>
      </c>
      <c r="M289" s="27"/>
      <c r="N289" s="27"/>
      <c r="O289" s="27"/>
      <c r="P289" s="27" t="s">
        <v>734</v>
      </c>
      <c r="Q289" s="27" t="str" cm="1">
        <f t="array" ref="Q289">_xlfn.REGEXEXTRACT(B289,"(?&lt;=//)[^/]+")</f>
        <v>bdsmmansion.com</v>
      </c>
      <c r="R289" s="27" t="s">
        <v>685</v>
      </c>
      <c r="S289" s="27" t="s">
        <v>1750</v>
      </c>
      <c r="T289" s="27" t="str" cm="1">
        <f t="array" ref="T289">IF(S289&lt;&gt;"NotApplicable",_xlfn.REGEXEXTRACT(S289,"\d+(?=p)"),"NotApplicable")</f>
        <v>NotApplicable</v>
      </c>
      <c r="U289" s="27" t="s">
        <v>1750</v>
      </c>
      <c r="V289" s="27" t="b">
        <f>ISNUMBER(SEARCH(",",F289))</f>
        <v>1</v>
      </c>
    </row>
    <row r="290" spans="1:22" ht="45" x14ac:dyDescent="0.25">
      <c r="A290" s="27" t="str">
        <f>IF(ISBLANK(N290)=TRUE,"Pending","Done")</f>
        <v>Pending</v>
      </c>
      <c r="B290" s="27" t="s">
        <v>1802</v>
      </c>
      <c r="C290" s="27">
        <v>74</v>
      </c>
      <c r="D290" s="27" t="str">
        <f>SUBSTITUTE(TRIM(RIGHT(SUBSTITUTE(IF(RIGHT(B290,1)="/",LEFT(B290,LEN(B290)-1),B290),"/",REPT(" ",LEN(B290))),LEN(B290))),"-"," ")</f>
        <v>destroying the homecoming queen</v>
      </c>
      <c r="E290" s="27" t="s">
        <v>847</v>
      </c>
      <c r="F290" s="27" t="s">
        <v>1803</v>
      </c>
      <c r="G290" s="27" t="s">
        <v>71</v>
      </c>
      <c r="H290" s="27" t="s">
        <v>2663</v>
      </c>
      <c r="I290" s="27" t="s">
        <v>2663</v>
      </c>
      <c r="J290" s="27">
        <v>6</v>
      </c>
      <c r="K290" s="27" t="s">
        <v>1804</v>
      </c>
      <c r="L290" s="27" t="s">
        <v>2606</v>
      </c>
      <c r="M290" s="27"/>
      <c r="N290" s="27"/>
      <c r="O290" s="27"/>
      <c r="P290" s="27"/>
      <c r="Q290" s="27" t="str" cm="1">
        <f t="array" ref="Q290">_xlfn.REGEXEXTRACT(B290,"(?&lt;=//)[^/]+")</f>
        <v>hcbdsm.com</v>
      </c>
      <c r="R290" s="27" t="s">
        <v>685</v>
      </c>
      <c r="S290" s="27" t="s">
        <v>1750</v>
      </c>
      <c r="T290" s="27" t="str" cm="1">
        <f t="array" ref="T290">IF(S290&lt;&gt;"NotApplicable",_xlfn.REGEXEXTRACT(S290,"\d+(?=p)"),"NotApplicable")</f>
        <v>NotApplicable</v>
      </c>
      <c r="U290" s="27" t="s">
        <v>1750</v>
      </c>
      <c r="V290" s="27" t="b">
        <f>ISNUMBER(SEARCH(",",F290))</f>
        <v>1</v>
      </c>
    </row>
    <row r="291" spans="1:22" ht="30" x14ac:dyDescent="0.25">
      <c r="A291" s="27" t="str">
        <f>IF(ISBLANK(N291)=TRUE,"Pending","Done")</f>
        <v>Pending</v>
      </c>
      <c r="B291" s="27" t="s">
        <v>1893</v>
      </c>
      <c r="C291" s="27">
        <v>74</v>
      </c>
      <c r="D291" s="27" t="str">
        <f>SUBSTITUTE(TRIM(RIGHT(SUBSTITUTE(IF(RIGHT(B291,1)="/",LEFT(B291,LEN(B291)-1),B291),"/",REPT(" ",LEN(B291))),LEN(B291))),"-"," ")</f>
        <v>lesbian femdom role switch leaves both women begging for more3</v>
      </c>
      <c r="E291" s="27" t="s">
        <v>847</v>
      </c>
      <c r="F291" s="27" t="s">
        <v>1894</v>
      </c>
      <c r="G291" s="27" t="s">
        <v>71</v>
      </c>
      <c r="H291" s="27" t="s">
        <v>2665</v>
      </c>
      <c r="I291" s="27" t="s">
        <v>2664</v>
      </c>
      <c r="J291" s="27">
        <v>2</v>
      </c>
      <c r="K291" s="27" t="s">
        <v>1895</v>
      </c>
      <c r="L291" s="27"/>
      <c r="M291" s="27"/>
      <c r="N291" s="27"/>
      <c r="O291" s="27"/>
      <c r="P291" s="27"/>
      <c r="Q291" s="27" t="str" cm="1">
        <f t="array" ref="Q291">_xlfn.REGEXEXTRACT(B291,"(?&lt;=//)[^/]+")</f>
        <v>hcbdsm.com</v>
      </c>
      <c r="R291" s="27" t="s">
        <v>685</v>
      </c>
      <c r="S291" s="27" t="s">
        <v>1750</v>
      </c>
      <c r="T291" s="27" t="str" cm="1">
        <f t="array" ref="T291">IF(S291&lt;&gt;"NotApplicable",_xlfn.REGEXEXTRACT(S291,"\d+(?=p)"),"NotApplicable")</f>
        <v>NotApplicable</v>
      </c>
      <c r="U291" s="27" t="s">
        <v>1750</v>
      </c>
      <c r="V291" s="27" t="b">
        <f>ISNUMBER(SEARCH(",",F291))</f>
        <v>1</v>
      </c>
    </row>
    <row r="292" spans="1:22" ht="45" x14ac:dyDescent="0.25">
      <c r="A292" s="27" t="str">
        <f>IF(ISBLANK(N292)=TRUE,"Pending","Done")</f>
        <v>Pending</v>
      </c>
      <c r="B292" s="27" t="s">
        <v>1718</v>
      </c>
      <c r="C292" s="27">
        <v>80</v>
      </c>
      <c r="D292" s="27" t="str">
        <f>SUBSTITUTE(TRIM(RIGHT(SUBSTITUTE(IF(RIGHT(B292,1)="/",LEFT(B292,LEN(B292)-1),B292),"/",REPT(" ",LEN(B292))),LEN(B292))),"-"," ")</f>
        <v>09 03 27 6306 wenona maitresse madeline marlowe sasha lexing ballerina sluts</v>
      </c>
      <c r="E292" s="27" t="s">
        <v>847</v>
      </c>
      <c r="F292" s="27" t="s">
        <v>1594</v>
      </c>
      <c r="G292" s="27" t="s">
        <v>71</v>
      </c>
      <c r="H292" s="27" t="s">
        <v>2667</v>
      </c>
      <c r="I292" s="27" t="s">
        <v>2666</v>
      </c>
      <c r="J292" s="27" t="s">
        <v>1750</v>
      </c>
      <c r="K292" s="27" t="s">
        <v>1750</v>
      </c>
      <c r="L292" s="27" t="s">
        <v>1701</v>
      </c>
      <c r="M292" s="27"/>
      <c r="N292" s="27"/>
      <c r="O292" s="27"/>
      <c r="P292" s="27"/>
      <c r="Q292" s="27" t="str" cm="1">
        <f t="array" ref="Q292">_xlfn.REGEXEXTRACT(B292,"(?&lt;=//)[^/]+")</f>
        <v>bdsmmansion.com</v>
      </c>
      <c r="R292" s="27" t="s">
        <v>685</v>
      </c>
      <c r="S292" s="27" t="s">
        <v>1750</v>
      </c>
      <c r="T292" s="27" t="str" cm="1">
        <f t="array" ref="T292">IF(S292&lt;&gt;"NotApplicable",_xlfn.REGEXEXTRACT(S292,"\d+(?=p)"),"NotApplicable")</f>
        <v>NotApplicable</v>
      </c>
      <c r="U292" s="27" t="s">
        <v>1750</v>
      </c>
      <c r="V292" s="27" t="b">
        <f>ISNUMBER(SEARCH(",",F292))</f>
        <v>1</v>
      </c>
    </row>
    <row r="293" spans="1:22" ht="45" x14ac:dyDescent="0.25">
      <c r="A293" s="27" t="str">
        <f>IF(ISBLANK(N293)=TRUE,"Pending","Done")</f>
        <v>Pending</v>
      </c>
      <c r="B293" s="27" t="s">
        <v>1480</v>
      </c>
      <c r="C293" s="27">
        <v>91</v>
      </c>
      <c r="D293" s="27" t="str">
        <f>SUBSTITUTE(TRIM(RIGHT(SUBSTITUTE(IF(RIGHT(B293,1)="/",LEFT(B293,LEN(B293)-1),B293),"/",REPT(" ",LEN(B293))),LEN(B293))),"-"," ")</f>
        <v>12 06 01 22053 aiden starr naidyne adorable 19 year old has a tough first ever lesbian experience on whippedass com</v>
      </c>
      <c r="E293" s="27" t="s">
        <v>847</v>
      </c>
      <c r="F293" s="27" t="s">
        <v>1475</v>
      </c>
      <c r="G293" s="27" t="s">
        <v>71</v>
      </c>
      <c r="H293" s="27" t="s">
        <v>2669</v>
      </c>
      <c r="I293" s="27" t="s">
        <v>2668</v>
      </c>
      <c r="J293" s="27" t="s">
        <v>1750</v>
      </c>
      <c r="K293" s="27" t="s">
        <v>1750</v>
      </c>
      <c r="L293" s="27" t="s">
        <v>1690</v>
      </c>
      <c r="M293" s="27"/>
      <c r="N293" s="27"/>
      <c r="O293" s="27"/>
      <c r="P293" s="27"/>
      <c r="Q293" s="27" t="str" cm="1">
        <f t="array" ref="Q293">_xlfn.REGEXEXTRACT(B293,"(?&lt;=//)[^/]+")</f>
        <v>bdsmmansion.com</v>
      </c>
      <c r="R293" s="27" t="s">
        <v>685</v>
      </c>
      <c r="S293" s="27" t="s">
        <v>1750</v>
      </c>
      <c r="T293" s="27" t="str" cm="1">
        <f t="array" ref="T293">IF(S293&lt;&gt;"NotApplicable",_xlfn.REGEXEXTRACT(S293,"\d+(?=p)"),"NotApplicable")</f>
        <v>NotApplicable</v>
      </c>
      <c r="U293" s="27" t="s">
        <v>1750</v>
      </c>
      <c r="V293" s="27" t="b">
        <f>ISNUMBER(SEARCH(",",F293))</f>
        <v>1</v>
      </c>
    </row>
    <row r="294" spans="1:22" ht="30" x14ac:dyDescent="0.25">
      <c r="A294" s="27" t="str">
        <f>IF(ISBLANK(N294)=TRUE,"Pending","Done")</f>
        <v>Pending</v>
      </c>
      <c r="B294" s="27" t="s">
        <v>1554</v>
      </c>
      <c r="C294" s="27">
        <v>48</v>
      </c>
      <c r="D294" s="27" t="str">
        <f>SUBSTITUTE(TRIM(RIGHT(SUBSTITUTE(IF(RIGHT(B294,1)="/",LEFT(B294,LEN(B294)-1),B294),"/",REPT(" ",LEN(B294))),LEN(B294))),"-"," ")</f>
        <v>beautiful blonde with big tits gets oiled up and used as a cum canvas3</v>
      </c>
      <c r="E294" s="27" t="s">
        <v>848</v>
      </c>
      <c r="F294" s="27" t="s">
        <v>1583</v>
      </c>
      <c r="G294" s="27" t="s">
        <v>71</v>
      </c>
      <c r="H294" s="27" t="s">
        <v>2670</v>
      </c>
      <c r="I294" s="27" t="s">
        <v>2670</v>
      </c>
      <c r="J294" s="27" t="s">
        <v>1750</v>
      </c>
      <c r="K294" s="27" t="s">
        <v>1750</v>
      </c>
      <c r="L294" s="27" t="s">
        <v>1690</v>
      </c>
      <c r="M294" s="27"/>
      <c r="N294" s="27"/>
      <c r="O294" s="27"/>
      <c r="P294" s="27" t="s">
        <v>1605</v>
      </c>
      <c r="Q294" s="27" t="str" cm="1">
        <f t="array" ref="Q294">_xlfn.REGEXEXTRACT(B294,"(?&lt;=//)[^/]+")</f>
        <v>hcbdsm.com</v>
      </c>
      <c r="R294" s="27" t="s">
        <v>685</v>
      </c>
      <c r="S294" s="27" t="s">
        <v>1750</v>
      </c>
      <c r="T294" s="27" t="str" cm="1">
        <f t="array" ref="T294">IF(S294&lt;&gt;"NotApplicable",_xlfn.REGEXEXTRACT(S294,"\d+(?=p)"),"NotApplicable")</f>
        <v>NotApplicable</v>
      </c>
      <c r="U294" s="27" t="s">
        <v>1750</v>
      </c>
      <c r="V294" s="27" t="b">
        <f>ISNUMBER(SEARCH(",",F294))</f>
        <v>1</v>
      </c>
    </row>
    <row r="295" spans="1:22" ht="45" x14ac:dyDescent="0.25">
      <c r="A295" s="27" t="str">
        <f>IF(ISBLANK(N295)=TRUE,"Pending","Done")</f>
        <v>Pending</v>
      </c>
      <c r="B295" s="27" t="s">
        <v>1464</v>
      </c>
      <c r="C295" s="27">
        <v>50</v>
      </c>
      <c r="D295" s="27" t="str">
        <f>SUBSTITUTE(TRIM(RIGHT(SUBSTITUTE(IF(RIGHT(B295,1)="/",LEFT(B295,LEN(B295)-1),B295),"/",REPT(" ",LEN(B295))),LEN(B295))),"-"," ")</f>
        <v>the veteran and the newbie</v>
      </c>
      <c r="E295" s="27" t="s">
        <v>848</v>
      </c>
      <c r="F295" s="27" t="s">
        <v>1462</v>
      </c>
      <c r="G295" s="27" t="s">
        <v>71</v>
      </c>
      <c r="H295" s="27" t="s">
        <v>2671</v>
      </c>
      <c r="I295" s="27" t="s">
        <v>2671</v>
      </c>
      <c r="J295" s="27" t="s">
        <v>1750</v>
      </c>
      <c r="K295" s="27" t="s">
        <v>1750</v>
      </c>
      <c r="L295" s="27" t="s">
        <v>1701</v>
      </c>
      <c r="M295" s="27"/>
      <c r="N295" s="27"/>
      <c r="O295" s="27"/>
      <c r="P295" s="27" t="s">
        <v>1463</v>
      </c>
      <c r="Q295" s="27" t="str" cm="1">
        <f t="array" ref="Q295">_xlfn.REGEXEXTRACT(B295,"(?&lt;=//)[^/]+")</f>
        <v>bdsmstreak.com</v>
      </c>
      <c r="R295" s="27" t="s">
        <v>685</v>
      </c>
      <c r="S295" s="27" t="s">
        <v>1750</v>
      </c>
      <c r="T295" s="27" t="str" cm="1">
        <f t="array" ref="T295">IF(S295&lt;&gt;"NotApplicable",_xlfn.REGEXEXTRACT(S295,"\d+(?=p)"),"NotApplicable")</f>
        <v>NotApplicable</v>
      </c>
      <c r="U295" s="27" t="s">
        <v>1750</v>
      </c>
      <c r="V295" s="27" t="b">
        <f>ISNUMBER(SEARCH(",",F295))</f>
        <v>1</v>
      </c>
    </row>
    <row r="296" spans="1:22" ht="45" x14ac:dyDescent="0.25">
      <c r="A296" s="27" t="str">
        <f>IF(ISBLANK(N296)=TRUE,"Pending","Done")</f>
        <v>Pending</v>
      </c>
      <c r="B296" s="27" t="s">
        <v>1960</v>
      </c>
      <c r="C296" s="27">
        <v>61</v>
      </c>
      <c r="D296" s="27" t="str">
        <f>SUBSTITUTE(TRIM(RIGHT(SUBSTITUTE(IF(RIGHT(B296,1)="/",LEFT(B296,LEN(B296)-1),B296),"/",REPT(" ",LEN(B296))),LEN(B296))),"-"," ")</f>
        <v>office take down</v>
      </c>
      <c r="E296" s="27" t="s">
        <v>848</v>
      </c>
      <c r="F296" s="27" t="s">
        <v>1961</v>
      </c>
      <c r="G296" s="27" t="s">
        <v>71</v>
      </c>
      <c r="H296" s="27" t="s">
        <v>2654</v>
      </c>
      <c r="I296" s="27" t="s">
        <v>2654</v>
      </c>
      <c r="J296" s="27">
        <v>6</v>
      </c>
      <c r="K296" s="27" t="s">
        <v>1958</v>
      </c>
      <c r="L296" s="27" t="s">
        <v>1689</v>
      </c>
      <c r="M296" s="27"/>
      <c r="N296" s="27"/>
      <c r="O296" s="27"/>
      <c r="P296" s="27"/>
      <c r="Q296" s="27" t="str" cm="1">
        <f t="array" ref="Q296">_xlfn.REGEXEXTRACT(B296,"(?&lt;=//)[^/]+")</f>
        <v>bdsmstreak.com</v>
      </c>
      <c r="R296" s="27" t="s">
        <v>685</v>
      </c>
      <c r="S296" s="27" t="s">
        <v>1750</v>
      </c>
      <c r="T296" s="27" t="str" cm="1">
        <f t="array" ref="T296">IF(S296&lt;&gt;"NotApplicable",_xlfn.REGEXEXTRACT(S296,"\d+(?=p)"),"NotApplicable")</f>
        <v>NotApplicable</v>
      </c>
      <c r="U296" s="27" t="s">
        <v>1750</v>
      </c>
      <c r="V296" s="27" t="b">
        <f>ISNUMBER(SEARCH(",",F296))</f>
        <v>1</v>
      </c>
    </row>
    <row r="297" spans="1:22" ht="30" x14ac:dyDescent="0.25">
      <c r="A297" s="27" t="str">
        <f>IF(ISBLANK(N297)=TRUE,"Pending","Done")</f>
        <v>Pending</v>
      </c>
      <c r="B297" s="27" t="s">
        <v>1981</v>
      </c>
      <c r="C297" s="27">
        <v>61</v>
      </c>
      <c r="D297" s="27" t="str">
        <f>SUBSTITUTE(TRIM(RIGHT(SUBSTITUTE(IF(RIGHT(B297,1)="/",LEFT(B297,LEN(B297)-1),B297),"/",REPT(" ",LEN(B297))),LEN(B297))),"-"," ")</f>
        <v>phoenix marie gets her ass fisted in bondage</v>
      </c>
      <c r="E297" s="27" t="s">
        <v>848</v>
      </c>
      <c r="F297" s="27" t="s">
        <v>1982</v>
      </c>
      <c r="G297" s="27" t="s">
        <v>71</v>
      </c>
      <c r="H297" s="27" t="s">
        <v>2672</v>
      </c>
      <c r="I297" s="27" t="s">
        <v>2672</v>
      </c>
      <c r="J297" s="27">
        <v>1</v>
      </c>
      <c r="K297" s="27" t="s">
        <v>1610</v>
      </c>
      <c r="L297" s="27" t="s">
        <v>1690</v>
      </c>
      <c r="M297" s="27"/>
      <c r="N297" s="27"/>
      <c r="O297" s="27"/>
      <c r="P297" s="27"/>
      <c r="Q297" s="27" t="str" cm="1">
        <f t="array" ref="Q297">_xlfn.REGEXEXTRACT(B297,"(?&lt;=//)[^/]+")</f>
        <v>hcbdsm.com</v>
      </c>
      <c r="R297" s="27" t="s">
        <v>685</v>
      </c>
      <c r="S297" s="27" t="s">
        <v>1750</v>
      </c>
      <c r="T297" s="27" t="str" cm="1">
        <f t="array" ref="T297">IF(S297&lt;&gt;"NotApplicable",_xlfn.REGEXEXTRACT(S297,"\d+(?=p)"),"NotApplicable")</f>
        <v>NotApplicable</v>
      </c>
      <c r="U297" s="27" t="s">
        <v>1750</v>
      </c>
      <c r="V297" s="27" t="b">
        <f>ISNUMBER(SEARCH(",",F297))</f>
        <v>1</v>
      </c>
    </row>
    <row r="298" spans="1:22" ht="45" x14ac:dyDescent="0.25">
      <c r="A298" s="27" t="str">
        <f>IF(ISBLANK(N298)=TRUE,"Pending","Done")</f>
        <v>Pending</v>
      </c>
      <c r="B298" s="27" t="s">
        <v>2674</v>
      </c>
      <c r="C298" s="27">
        <v>62</v>
      </c>
      <c r="D298" s="27" t="str">
        <f>SUBSTITUTE(TRIM(RIGHT(SUBSTITUTE(IF(RIGHT(B298,1)="/",LEFT(B298,LEN(B298)-1),B298),"/",REPT(" ",LEN(B298))),LEN(B298))),"-"," ")</f>
        <v>journalist ash hollywood learns what is means to be nonbiased through electro motivation</v>
      </c>
      <c r="E298" s="27" t="s">
        <v>848</v>
      </c>
      <c r="F298" s="27" t="s">
        <v>1465</v>
      </c>
      <c r="G298" s="27" t="s">
        <v>71</v>
      </c>
      <c r="H298" s="27" t="s">
        <v>2675</v>
      </c>
      <c r="I298" s="27" t="s">
        <v>2673</v>
      </c>
      <c r="J298" s="27" t="s">
        <v>1750</v>
      </c>
      <c r="K298" s="27" t="s">
        <v>1750</v>
      </c>
      <c r="L298" s="27" t="s">
        <v>1690</v>
      </c>
      <c r="M298" s="27"/>
      <c r="N298" s="27"/>
      <c r="O298" s="27"/>
      <c r="P298" s="27"/>
      <c r="Q298" s="27" t="str" cm="1">
        <f t="array" ref="Q298">_xlfn.REGEXEXTRACT(B298,"(?&lt;=//)[^/]+")</f>
        <v>hcbdsm.com</v>
      </c>
      <c r="R298" s="27" t="s">
        <v>685</v>
      </c>
      <c r="S298" s="27" t="s">
        <v>1750</v>
      </c>
      <c r="T298" s="27" t="str" cm="1">
        <f t="array" ref="T298">IF(S298&lt;&gt;"NotApplicable",_xlfn.REGEXEXTRACT(S298,"\d+(?=p)"),"NotApplicable")</f>
        <v>NotApplicable</v>
      </c>
      <c r="U298" s="27" t="s">
        <v>1750</v>
      </c>
      <c r="V298" s="27" t="b">
        <f>ISNUMBER(SEARCH(",",F298))</f>
        <v>1</v>
      </c>
    </row>
    <row r="299" spans="1:22" ht="30" x14ac:dyDescent="0.25">
      <c r="A299" s="27" t="str">
        <f>IF(ISBLANK(N299)=TRUE,"Pending","Done")</f>
        <v>Pending</v>
      </c>
      <c r="B299" s="27" t="s">
        <v>2106</v>
      </c>
      <c r="C299" s="27">
        <v>63</v>
      </c>
      <c r="D299" s="27" t="str">
        <f>SUBSTITUTE(TRIM(RIGHT(SUBSTITUTE(IF(RIGHT(B299,1)="/",LEFT(B299,LEN(B299)-1),B299),"/",REPT(" ",LEN(B299))),LEN(B299))),"-"," ")</f>
        <v>tough as nails</v>
      </c>
      <c r="E299" s="27" t="s">
        <v>848</v>
      </c>
      <c r="F299" s="27" t="s">
        <v>2107</v>
      </c>
      <c r="G299" s="27" t="s">
        <v>71</v>
      </c>
      <c r="H299" s="27" t="s">
        <v>2676</v>
      </c>
      <c r="I299" s="27" t="s">
        <v>2676</v>
      </c>
      <c r="J299" s="27">
        <v>0</v>
      </c>
      <c r="K299" s="27" t="s">
        <v>1690</v>
      </c>
      <c r="L299" s="27"/>
      <c r="M299" s="27"/>
      <c r="N299" s="27"/>
      <c r="O299" s="27"/>
      <c r="P299" s="27"/>
      <c r="Q299" s="27" t="str" cm="1">
        <f t="array" ref="Q299">_xlfn.REGEXEXTRACT(B299,"(?&lt;=//)[^/]+")</f>
        <v>bdsmstreak.com</v>
      </c>
      <c r="R299" s="27" t="s">
        <v>685</v>
      </c>
      <c r="S299" s="27" t="s">
        <v>1750</v>
      </c>
      <c r="T299" s="27" t="str" cm="1">
        <f t="array" ref="T299">IF(S299&lt;&gt;"NotApplicable",_xlfn.REGEXEXTRACT(S299,"\d+(?=p)"),"NotApplicable")</f>
        <v>NotApplicable</v>
      </c>
      <c r="U299" s="27" t="s">
        <v>1750</v>
      </c>
      <c r="V299" s="27" t="b">
        <f>ISNUMBER(SEARCH(",",F299))</f>
        <v>1</v>
      </c>
    </row>
    <row r="300" spans="1:22" ht="30" x14ac:dyDescent="0.25">
      <c r="A300" s="27" t="str">
        <f>IF(ISBLANK(N300)=TRUE,"Pending","Done")</f>
        <v>Pending</v>
      </c>
      <c r="B300" s="27" t="s">
        <v>1564</v>
      </c>
      <c r="C300" s="27">
        <v>75</v>
      </c>
      <c r="D300" s="27" t="str">
        <f>SUBSTITUTE(TRIM(RIGHT(SUBSTITUTE(IF(RIGHT(B300,1)="/",LEFT(B300,LEN(B300)-1),B300),"/",REPT(" ",LEN(B300))),LEN(B300))),"-"," ")</f>
        <v>a22dfc402e24e15bfd2dc0e88e68630d</v>
      </c>
      <c r="E300" s="27" t="s">
        <v>848</v>
      </c>
      <c r="F300" s="27" t="s">
        <v>1590</v>
      </c>
      <c r="G300" s="27" t="s">
        <v>71</v>
      </c>
      <c r="H300" s="27" t="s">
        <v>2680</v>
      </c>
      <c r="I300" s="27" t="s">
        <v>2679</v>
      </c>
      <c r="J300" s="27" t="s">
        <v>1750</v>
      </c>
      <c r="K300" s="27" t="s">
        <v>1750</v>
      </c>
      <c r="L300" s="27" t="s">
        <v>1690</v>
      </c>
      <c r="M300" s="27"/>
      <c r="N300" s="27"/>
      <c r="O300" s="27"/>
      <c r="P300" s="27" t="s">
        <v>1144</v>
      </c>
      <c r="Q300" s="27" t="str" cm="1">
        <f t="array" ref="Q300">_xlfn.REGEXEXTRACT(B300,"(?&lt;=//)[^/]+")</f>
        <v>www.porntry.com</v>
      </c>
      <c r="R300" s="27" t="s">
        <v>685</v>
      </c>
      <c r="S300" s="27" t="s">
        <v>1750</v>
      </c>
      <c r="T300" s="27" t="str" cm="1">
        <f t="array" ref="T300">IF(S300&lt;&gt;"NotApplicable",_xlfn.REGEXEXTRACT(S300,"\d+(?=p)"),"NotApplicable")</f>
        <v>NotApplicable</v>
      </c>
      <c r="U300" s="27" t="s">
        <v>1750</v>
      </c>
      <c r="V300" s="27" t="b">
        <f>ISNUMBER(SEARCH(",",F300))</f>
        <v>1</v>
      </c>
    </row>
    <row r="301" spans="1:22" ht="30" x14ac:dyDescent="0.25">
      <c r="A301" s="27" t="str">
        <f>IF(ISBLANK(N301)=TRUE,"Pending","Done")</f>
        <v>Pending</v>
      </c>
      <c r="B301" s="27" t="s">
        <v>2083</v>
      </c>
      <c r="C301" s="27">
        <v>41</v>
      </c>
      <c r="D301" s="27" t="str">
        <f>SUBSTITUTE(TRIM(RIGHT(SUBSTITUTE(IF(RIGHT(B301,1)="/",LEFT(B301,LEN(B301)-1),B301),"/",REPT(" ",LEN(B301))),LEN(B301))),"-"," ")</f>
        <v>graias the terminator the groovy and the faithful slave 04</v>
      </c>
      <c r="E301" s="27" t="s">
        <v>2084</v>
      </c>
      <c r="F301" s="27" t="s">
        <v>2085</v>
      </c>
      <c r="G301" s="27" t="s">
        <v>70</v>
      </c>
      <c r="H301" s="27" t="s">
        <v>2505</v>
      </c>
      <c r="I301" s="27" t="s">
        <v>2504</v>
      </c>
      <c r="J301" s="27">
        <v>0</v>
      </c>
      <c r="K301" s="27" t="s">
        <v>1691</v>
      </c>
      <c r="L301" s="27"/>
      <c r="M301" s="27"/>
      <c r="N301" s="27"/>
      <c r="O301" s="27"/>
      <c r="P301" s="27"/>
      <c r="Q301" s="27" t="str" cm="1">
        <f t="array" ref="Q301">_xlfn.REGEXEXTRACT(B301,"(?&lt;=//)[^/]+")</f>
        <v>heavyfetish.com</v>
      </c>
      <c r="R301" s="27" t="s">
        <v>685</v>
      </c>
      <c r="S301" s="27" t="s">
        <v>1750</v>
      </c>
      <c r="T301" s="27" t="str" cm="1">
        <f t="array" ref="T301">IF(S301&lt;&gt;"NotApplicable",_xlfn.REGEXEXTRACT(S301,"\d+(?=p)"),"NotApplicable")</f>
        <v>NotApplicable</v>
      </c>
      <c r="U301" s="27" t="s">
        <v>1750</v>
      </c>
      <c r="V301" s="27" t="b">
        <f>ISNUMBER(SEARCH(",",F301))</f>
        <v>1</v>
      </c>
    </row>
    <row r="302" spans="1:22" ht="30" x14ac:dyDescent="0.25">
      <c r="A302" s="27" t="str">
        <f>IF(ISBLANK(N302)=TRUE,"Pending","Done")</f>
        <v>Pending</v>
      </c>
      <c r="B302" s="27" t="s">
        <v>1436</v>
      </c>
      <c r="C302" s="27">
        <v>41</v>
      </c>
      <c r="D302" s="27" t="str">
        <f>SUBSTITUTE(TRIM(RIGHT(SUBSTITUTE(IF(RIGHT(B302,1)="/",LEFT(B302,LEN(B302)-1),B302),"/",REPT(" ",LEN(B302))),LEN(B302))),"-"," ")</f>
        <v>shocking her holes</v>
      </c>
      <c r="E302" s="27" t="s">
        <v>2318</v>
      </c>
      <c r="F302" s="27" t="s">
        <v>1437</v>
      </c>
      <c r="G302" s="27" t="s">
        <v>70</v>
      </c>
      <c r="H302" s="27" t="s">
        <v>2507</v>
      </c>
      <c r="I302" s="27" t="s">
        <v>2506</v>
      </c>
      <c r="J302" s="27" t="s">
        <v>1750</v>
      </c>
      <c r="K302" s="27" t="s">
        <v>1750</v>
      </c>
      <c r="L302" s="27"/>
      <c r="M302" s="27"/>
      <c r="N302" s="27"/>
      <c r="O302" s="27"/>
      <c r="P302" s="27"/>
      <c r="Q302" s="27" t="str" cm="1">
        <f t="array" ref="Q302">_xlfn.REGEXEXTRACT(B302,"(?&lt;=//)[^/]+")</f>
        <v>bdsmstreak.com</v>
      </c>
      <c r="R302" s="27" t="s">
        <v>685</v>
      </c>
      <c r="S302" s="27" t="s">
        <v>1750</v>
      </c>
      <c r="T302" s="27" t="str" cm="1">
        <f t="array" ref="T302">IF(S302&lt;&gt;"NotApplicable",_xlfn.REGEXEXTRACT(S302,"\d+(?=p)"),"NotApplicable")</f>
        <v>NotApplicable</v>
      </c>
      <c r="U302" s="27" t="s">
        <v>1750</v>
      </c>
      <c r="V302" s="27" t="b">
        <f>ISNUMBER(SEARCH(",",F302))</f>
        <v>0</v>
      </c>
    </row>
    <row r="303" spans="1:22" ht="30" x14ac:dyDescent="0.25">
      <c r="A303" s="27" t="str">
        <f>IF(ISBLANK(N303)=TRUE,"Pending","Done")</f>
        <v>Pending</v>
      </c>
      <c r="B303" s="27" t="s">
        <v>2482</v>
      </c>
      <c r="C303" s="27">
        <v>27</v>
      </c>
      <c r="D303" s="27" t="str">
        <f>SUBSTITUTE(TRIM(RIGHT(SUBSTITUTE(IF(RIGHT(B303,1)="/",LEFT(B303,LEN(B303)-1),B303),"/",REPT(" ",LEN(B303))),LEN(B303))),"-"," ")</f>
        <v>emily willis</v>
      </c>
      <c r="E303" s="27" t="s">
        <v>2483</v>
      </c>
      <c r="F303" s="27" t="s">
        <v>141</v>
      </c>
      <c r="G303" s="27" t="s">
        <v>154</v>
      </c>
      <c r="H303" s="27" t="s">
        <v>2484</v>
      </c>
      <c r="I303" s="27" t="s">
        <v>2485</v>
      </c>
      <c r="J303" s="27" t="s">
        <v>1750</v>
      </c>
      <c r="K303" s="27" t="s">
        <v>1750</v>
      </c>
      <c r="L303" s="27" t="s">
        <v>441</v>
      </c>
      <c r="M303" s="27" t="s">
        <v>599</v>
      </c>
      <c r="N303" s="27"/>
      <c r="O303" s="27"/>
      <c r="P303" s="27" t="s">
        <v>2486</v>
      </c>
      <c r="Q303" s="27" t="str" cm="1">
        <f t="array" ref="Q303">_xlfn.REGEXEXTRACT(B303,"(?&lt;=//)[^/]+")</f>
        <v>www.eporner.com</v>
      </c>
      <c r="R303" s="27" t="s">
        <v>685</v>
      </c>
      <c r="S303" s="27" t="s">
        <v>1750</v>
      </c>
      <c r="T303" s="27" t="str" cm="1">
        <f t="array" ref="T303">IF(S303&lt;&gt;"NotApplicable",_xlfn.REGEXEXTRACT(S303,"\d+(?=p)"),"NotApplicable")</f>
        <v>NotApplicable</v>
      </c>
      <c r="U303" s="27" t="s">
        <v>1750</v>
      </c>
      <c r="V303" s="27" t="b">
        <f>ISNUMBER(SEARCH(",",F303))</f>
        <v>0</v>
      </c>
    </row>
    <row r="304" spans="1:22" ht="30" x14ac:dyDescent="0.25">
      <c r="A304" s="27" t="str">
        <f>IF(ISBLANK(N304)=TRUE,"Pending","Done")</f>
        <v>Pending</v>
      </c>
      <c r="B304" s="27" t="s">
        <v>2258</v>
      </c>
      <c r="C304" s="27">
        <v>54</v>
      </c>
      <c r="D304" s="27" t="str">
        <f>SUBSTITUTE(TRIM(RIGHT(SUBSTITUTE(IF(RIGHT(B304,1)="/",LEFT(B304,LEN(B304)-1),B304),"/",REPT(" ",LEN(B304))),LEN(B304))),"-"," ")</f>
        <v>8236</v>
      </c>
      <c r="E304" s="27" t="s">
        <v>852</v>
      </c>
      <c r="F304" s="27" t="s">
        <v>215</v>
      </c>
      <c r="G304" s="27" t="s">
        <v>81</v>
      </c>
      <c r="H304" s="27" t="s">
        <v>2436</v>
      </c>
      <c r="I304" s="27" t="s">
        <v>2437</v>
      </c>
      <c r="J304" s="27">
        <v>0</v>
      </c>
      <c r="K304" s="27" t="s">
        <v>1141</v>
      </c>
      <c r="L304" s="27"/>
      <c r="M304" s="27"/>
      <c r="N304" s="27"/>
      <c r="O304" s="27"/>
      <c r="P304" s="27"/>
      <c r="Q304" s="27" t="str" cm="1">
        <f t="array" ref="Q304">_xlfn.REGEXEXTRACT(B304,"(?&lt;=//)[^/]+")</f>
        <v>www.kink.com</v>
      </c>
      <c r="R304" s="27" t="s">
        <v>685</v>
      </c>
      <c r="S304" s="27" t="s">
        <v>1750</v>
      </c>
      <c r="T304" s="27" t="str" cm="1">
        <f t="array" ref="T304">IF(S304&lt;&gt;"NotApplicable",_xlfn.REGEXEXTRACT(S304,"\d+(?=p)"),"NotApplicable")</f>
        <v>NotApplicable</v>
      </c>
      <c r="U304" s="27" t="s">
        <v>1750</v>
      </c>
      <c r="V304" s="27" t="b">
        <f>ISNUMBER(SEARCH(",",F304))</f>
        <v>0</v>
      </c>
    </row>
    <row r="305" spans="1:22" ht="30" x14ac:dyDescent="0.25">
      <c r="A305" s="27" t="str">
        <f>IF(ISBLANK(N305)=TRUE,"Pending","Done")</f>
        <v>Pending</v>
      </c>
      <c r="B305" s="27" t="s">
        <v>2074</v>
      </c>
      <c r="C305" s="27">
        <v>34</v>
      </c>
      <c r="D305" s="27" t="str">
        <f>SUBSTITUTE(TRIM(RIGHT(SUBSTITUTE(IF(RIGHT(B305,1)="/",LEFT(B305,LEN(B305)-1),B305),"/",REPT(" ",LEN(B305))),LEN(B305))),"-"," ")</f>
        <v>the new bitch</v>
      </c>
      <c r="E305" s="27" t="s">
        <v>843</v>
      </c>
      <c r="F305" s="27" t="s">
        <v>1575</v>
      </c>
      <c r="G305" s="27" t="s">
        <v>81</v>
      </c>
      <c r="H305" s="27" t="s">
        <v>2556</v>
      </c>
      <c r="I305" s="27" t="s">
        <v>2556</v>
      </c>
      <c r="J305" s="27">
        <v>0</v>
      </c>
      <c r="K305" s="27" t="s">
        <v>1141</v>
      </c>
      <c r="L305" s="27"/>
      <c r="M305" s="27"/>
      <c r="N305" s="27"/>
      <c r="O305" s="27"/>
      <c r="P305" s="27"/>
      <c r="Q305" s="27" t="str" cm="1">
        <f t="array" ref="Q305">_xlfn.REGEXEXTRACT(B305,"(?&lt;=//)[^/]+")</f>
        <v>bdsmstreak.com</v>
      </c>
      <c r="R305" s="27" t="s">
        <v>685</v>
      </c>
      <c r="S305" s="27" t="s">
        <v>1750</v>
      </c>
      <c r="T305" s="27" t="str" cm="1">
        <f t="array" ref="T305">IF(S305&lt;&gt;"NotApplicable",_xlfn.REGEXEXTRACT(S305,"\d+(?=p)"),"NotApplicable")</f>
        <v>NotApplicable</v>
      </c>
      <c r="U305" s="27" t="s">
        <v>1750</v>
      </c>
      <c r="V305" s="27" t="b">
        <f>ISNUMBER(SEARCH(",",F305))</f>
        <v>0</v>
      </c>
    </row>
    <row r="306" spans="1:22" ht="30" x14ac:dyDescent="0.25">
      <c r="A306" s="27" t="str">
        <f>IF(ISBLANK(N306)=TRUE,"Pending","Done")</f>
        <v>Pending</v>
      </c>
      <c r="B306" s="27" t="s">
        <v>1655</v>
      </c>
      <c r="C306" s="27">
        <v>46</v>
      </c>
      <c r="D306" s="27" t="str">
        <f>SUBSTITUTE(TRIM(RIGHT(SUBSTITUTE(IF(RIGHT(B306,1)="/",LEFT(B306,LEN(B306)-1),B306),"/",REPT(" ",LEN(B306))),LEN(B306))),"-"," ")</f>
        <v>sandra romain and wild bill</v>
      </c>
      <c r="E306" s="27" t="s">
        <v>843</v>
      </c>
      <c r="F306" s="27" t="s">
        <v>1656</v>
      </c>
      <c r="G306" s="27" t="s">
        <v>81</v>
      </c>
      <c r="H306" s="27" t="s">
        <v>2557</v>
      </c>
      <c r="I306" s="27" t="s">
        <v>2557</v>
      </c>
      <c r="J306" s="27" t="s">
        <v>1750</v>
      </c>
      <c r="K306" s="27" t="s">
        <v>1750</v>
      </c>
      <c r="L306" s="27"/>
      <c r="M306" s="27"/>
      <c r="N306" s="27"/>
      <c r="O306" s="27"/>
      <c r="P306" s="27" t="s">
        <v>1657</v>
      </c>
      <c r="Q306" s="27" t="str" cm="1">
        <f t="array" ref="Q306">_xlfn.REGEXEXTRACT(B306,"(?&lt;=//)[^/]+")</f>
        <v>bdsmstreak.com</v>
      </c>
      <c r="R306" s="27" t="s">
        <v>685</v>
      </c>
      <c r="S306" s="27" t="s">
        <v>1750</v>
      </c>
      <c r="T306" s="27" t="str" cm="1">
        <f t="array" ref="T306">IF(S306&lt;&gt;"NotApplicable",_xlfn.REGEXEXTRACT(S306,"\d+(?=p)"),"NotApplicable")</f>
        <v>NotApplicable</v>
      </c>
      <c r="U306" s="27" t="s">
        <v>1750</v>
      </c>
      <c r="V306" s="27" t="b">
        <f>ISNUMBER(SEARCH(",",F306))</f>
        <v>0</v>
      </c>
    </row>
    <row r="307" spans="1:22" ht="45" x14ac:dyDescent="0.25">
      <c r="A307" s="27" t="str">
        <f>IF(ISBLANK(N307)=TRUE,"Pending","Done")</f>
        <v>Pending</v>
      </c>
      <c r="B307" s="27" t="s">
        <v>1627</v>
      </c>
      <c r="C307" s="27">
        <v>47</v>
      </c>
      <c r="D307" s="27" t="str">
        <f>SUBSTITUTE(TRIM(RIGHT(SUBSTITUTE(IF(RIGHT(B307,1)="/",LEFT(B307,LEN(B307)-1),B307),"/",REPT(" ",LEN(B307))),LEN(B307))),"-"," ")</f>
        <v>humiliation bdsm torture whipping brooke johnson brooke report hardtied com</v>
      </c>
      <c r="E307" s="27" t="s">
        <v>2319</v>
      </c>
      <c r="F307" s="27" t="s">
        <v>1642</v>
      </c>
      <c r="G307" s="27" t="s">
        <v>70</v>
      </c>
      <c r="H307" s="27" t="s">
        <v>2512</v>
      </c>
      <c r="I307" s="27" t="s">
        <v>2513</v>
      </c>
      <c r="J307" s="27" t="s">
        <v>1750</v>
      </c>
      <c r="K307" s="27" t="s">
        <v>1750</v>
      </c>
      <c r="L307" s="27"/>
      <c r="M307" s="27"/>
      <c r="N307" s="27"/>
      <c r="O307" s="27"/>
      <c r="P307" s="27" t="s">
        <v>1649</v>
      </c>
      <c r="Q307" s="27" t="str" cm="1">
        <f t="array" ref="Q307">_xlfn.REGEXEXTRACT(B307,"(?&lt;=//)[^/]+")</f>
        <v>x-x-x.tube</v>
      </c>
      <c r="R307" s="27" t="s">
        <v>685</v>
      </c>
      <c r="S307" s="27" t="s">
        <v>1750</v>
      </c>
      <c r="T307" s="27" t="str" cm="1">
        <f t="array" ref="T307">IF(S307&lt;&gt;"NotApplicable",_xlfn.REGEXEXTRACT(S307,"\d+(?=p)"),"NotApplicable")</f>
        <v>NotApplicable</v>
      </c>
      <c r="U307" s="27" t="s">
        <v>1750</v>
      </c>
      <c r="V307" s="27" t="b">
        <f>ISNUMBER(SEARCH(",",F307))</f>
        <v>0</v>
      </c>
    </row>
    <row r="308" spans="1:22" ht="30" x14ac:dyDescent="0.25">
      <c r="A308" s="27" t="str">
        <f>IF(ISBLANK(N308)=TRUE,"Pending","Done")</f>
        <v>Pending</v>
      </c>
      <c r="B308" s="27" t="s">
        <v>2088</v>
      </c>
      <c r="C308" s="27">
        <v>40</v>
      </c>
      <c r="D308" s="27" t="str">
        <f>SUBSTITUTE(TRIM(RIGHT(SUBSTITUTE(IF(RIGHT(B308,1)="/",LEFT(B308,LEN(B308)-1),B308),"/",REPT(" ",LEN(B308))),LEN(B308))),"-"," ")</f>
        <v>tied together kate kennedy and dolly mattel</v>
      </c>
      <c r="E308" s="27" t="s">
        <v>2319</v>
      </c>
      <c r="F308" s="27" t="s">
        <v>2089</v>
      </c>
      <c r="G308" s="27" t="s">
        <v>70</v>
      </c>
      <c r="H308" s="27" t="s">
        <v>2514</v>
      </c>
      <c r="I308" s="27" t="s">
        <v>2515</v>
      </c>
      <c r="J308" s="27">
        <v>0</v>
      </c>
      <c r="K308" s="27" t="s">
        <v>1677</v>
      </c>
      <c r="L308" s="27"/>
      <c r="M308" s="27"/>
      <c r="N308" s="27"/>
      <c r="O308" s="27"/>
      <c r="P308" s="27"/>
      <c r="Q308" s="27" t="str" cm="1">
        <f t="array" ref="Q308">_xlfn.REGEXEXTRACT(B308,"(?&lt;=//)[^/]+")</f>
        <v>bdsmstreak.com</v>
      </c>
      <c r="R308" s="27" t="s">
        <v>685</v>
      </c>
      <c r="S308" s="27" t="s">
        <v>1750</v>
      </c>
      <c r="T308" s="27" t="str" cm="1">
        <f t="array" ref="T308">IF(S308&lt;&gt;"NotApplicable",_xlfn.REGEXEXTRACT(S308,"\d+(?=p)"),"NotApplicable")</f>
        <v>NotApplicable</v>
      </c>
      <c r="U308" s="27" t="s">
        <v>1750</v>
      </c>
      <c r="V308" s="27" t="b">
        <f>ISNUMBER(SEARCH(",",F308))</f>
        <v>1</v>
      </c>
    </row>
    <row r="309" spans="1:22" ht="60" x14ac:dyDescent="0.25">
      <c r="A309" s="27" t="str">
        <f>IF(ISBLANK(N309)=TRUE,"Pending","Done")</f>
        <v>Pending</v>
      </c>
      <c r="B309" s="27" t="s">
        <v>2092</v>
      </c>
      <c r="C309" s="27">
        <v>19</v>
      </c>
      <c r="D309" s="27" t="str">
        <f>SUBSTITUTE(TRIM(RIGHT(SUBSTITUTE(IF(RIGHT(B309,1)="/",LEFT(B309,LEN(B309)-1),B309),"/",REPT(" ",LEN(B309))),LEN(B309))),"-"," ")</f>
        <v>odette delacroix</v>
      </c>
      <c r="E309" s="27" t="s">
        <v>2326</v>
      </c>
      <c r="F309" s="27" t="s">
        <v>2093</v>
      </c>
      <c r="G309" s="27" t="s">
        <v>70</v>
      </c>
      <c r="H309" s="27" t="s">
        <v>2519</v>
      </c>
      <c r="I309" s="27" t="s">
        <v>2518</v>
      </c>
      <c r="J309" s="27">
        <v>0</v>
      </c>
      <c r="K309" s="27" t="s">
        <v>1141</v>
      </c>
      <c r="L309" s="27"/>
      <c r="M309" s="27"/>
      <c r="N309" s="27"/>
      <c r="O309" s="27"/>
      <c r="P309" s="27"/>
      <c r="Q309" s="27" t="str" cm="1">
        <f t="array" ref="Q309">_xlfn.REGEXEXTRACT(B309,"(?&lt;=//)[^/]+")</f>
        <v>bdsmstreak.com</v>
      </c>
      <c r="R309" s="27" t="s">
        <v>685</v>
      </c>
      <c r="S309" s="27" t="s">
        <v>1750</v>
      </c>
      <c r="T309" s="27" t="str" cm="1">
        <f t="array" ref="T309">IF(S309&lt;&gt;"NotApplicable",_xlfn.REGEXEXTRACT(S309,"\d+(?=p)"),"NotApplicable")</f>
        <v>NotApplicable</v>
      </c>
      <c r="U309" s="27" t="s">
        <v>1750</v>
      </c>
      <c r="V309" s="27" t="b">
        <f>ISNUMBER(SEARCH(",",F309))</f>
        <v>0</v>
      </c>
    </row>
    <row r="310" spans="1:22" ht="45" x14ac:dyDescent="0.25">
      <c r="A310" s="27" t="str">
        <f>IF(ISBLANK(N310)=TRUE,"Pending","Done")</f>
        <v>Pending</v>
      </c>
      <c r="B310" s="27" t="s">
        <v>2095</v>
      </c>
      <c r="C310" s="27">
        <v>23</v>
      </c>
      <c r="D310" s="27" t="str">
        <f>SUBSTITUTE(TRIM(RIGHT(SUBSTITUTE(IF(RIGHT(B310,1)="/",LEFT(B310,LEN(B310)-1),B310),"/",REPT(" ",LEN(B310))),LEN(B310))),"-"," ")</f>
        <v>tiny casey calvert is inverted skull fucked pussy</v>
      </c>
      <c r="E310" s="27" t="s">
        <v>2326</v>
      </c>
      <c r="F310" s="27" t="s">
        <v>2096</v>
      </c>
      <c r="G310" s="27" t="s">
        <v>70</v>
      </c>
      <c r="H310" s="27" t="s">
        <v>2521</v>
      </c>
      <c r="I310" s="27" t="s">
        <v>2520</v>
      </c>
      <c r="J310" s="27">
        <v>0</v>
      </c>
      <c r="K310" s="27" t="s">
        <v>2097</v>
      </c>
      <c r="L310" s="27"/>
      <c r="M310" s="27"/>
      <c r="N310" s="27"/>
      <c r="O310" s="27"/>
      <c r="P310" s="27"/>
      <c r="Q310" s="27" t="str" cm="1">
        <f t="array" ref="Q310">_xlfn.REGEXEXTRACT(B310,"(?&lt;=//)[^/]+")</f>
        <v>www.eporner.com</v>
      </c>
      <c r="R310" s="27" t="s">
        <v>685</v>
      </c>
      <c r="S310" s="27" t="s">
        <v>1750</v>
      </c>
      <c r="T310" s="27" t="str" cm="1">
        <f t="array" ref="T310">IF(S310&lt;&gt;"NotApplicable",_xlfn.REGEXEXTRACT(S310,"\d+(?=p)"),"NotApplicable")</f>
        <v>NotApplicable</v>
      </c>
      <c r="U310" s="27" t="s">
        <v>1750</v>
      </c>
      <c r="V310" s="27" t="b">
        <f>ISNUMBER(SEARCH(",",F310))</f>
        <v>1</v>
      </c>
    </row>
    <row r="311" spans="1:22" ht="45" x14ac:dyDescent="0.25">
      <c r="A311" s="27" t="str">
        <f>IF(ISBLANK(N311)=TRUE,"Pending","Done")</f>
        <v>Pending</v>
      </c>
      <c r="B311" s="27" t="s">
        <v>2090</v>
      </c>
      <c r="C311" s="27">
        <v>27</v>
      </c>
      <c r="D311" s="27" t="str">
        <f>SUBSTITUTE(TRIM(RIGHT(SUBSTITUTE(IF(RIGHT(B311,1)="/",LEFT(B311,LEN(B311)-1),B311),"/",REPT(" ",LEN(B311))),LEN(B311))),"-"," ")</f>
        <v>latina bound to wood stake and fucked jynx maze</v>
      </c>
      <c r="E311" s="27" t="s">
        <v>2326</v>
      </c>
      <c r="F311" s="27" t="s">
        <v>2091</v>
      </c>
      <c r="G311" s="27" t="s">
        <v>70</v>
      </c>
      <c r="H311" s="27" t="s">
        <v>2525</v>
      </c>
      <c r="I311" s="27" t="s">
        <v>2523</v>
      </c>
      <c r="J311" s="27">
        <v>0</v>
      </c>
      <c r="K311" s="27" t="s">
        <v>1141</v>
      </c>
      <c r="L311" s="27"/>
      <c r="M311" s="27"/>
      <c r="N311" s="27"/>
      <c r="O311" s="27"/>
      <c r="P311" s="27"/>
      <c r="Q311" s="27" t="str" cm="1">
        <f t="array" ref="Q311">_xlfn.REGEXEXTRACT(B311,"(?&lt;=//)[^/]+")</f>
        <v>bdsmmansion.com</v>
      </c>
      <c r="R311" s="27" t="s">
        <v>685</v>
      </c>
      <c r="S311" s="27" t="s">
        <v>1750</v>
      </c>
      <c r="T311" s="27" t="str" cm="1">
        <f t="array" ref="T311">IF(S311&lt;&gt;"NotApplicable",_xlfn.REGEXEXTRACT(S311,"\d+(?=p)"),"NotApplicable")</f>
        <v>NotApplicable</v>
      </c>
      <c r="U311" s="27" t="s">
        <v>1750</v>
      </c>
      <c r="V311" s="27" t="b">
        <f>ISNUMBER(SEARCH(",",F311))</f>
        <v>0</v>
      </c>
    </row>
    <row r="312" spans="1:22" ht="30" x14ac:dyDescent="0.25">
      <c r="A312" s="27" t="str">
        <f>IF(ISBLANK(N312)=TRUE,"Pending","Done")</f>
        <v>Pending</v>
      </c>
      <c r="B312" s="27" t="s">
        <v>2041</v>
      </c>
      <c r="C312" s="27">
        <v>70</v>
      </c>
      <c r="D312" s="27" t="str">
        <f>SUBSTITUTE(TRIM(RIGHT(SUBSTITUTE(IF(RIGHT(B312,1)="/",LEFT(B312,LEN(B312)-1),B312),"/",REPT(" ",LEN(B312))),LEN(B312))),"-"," ")</f>
        <v>sexually broken penny lay jessie dean stock fucked</v>
      </c>
      <c r="E312" s="27" t="s">
        <v>2326</v>
      </c>
      <c r="F312" s="27" t="s">
        <v>2042</v>
      </c>
      <c r="G312" s="27" t="s">
        <v>70</v>
      </c>
      <c r="H312" s="27" t="s">
        <v>2522</v>
      </c>
      <c r="I312" s="27" t="s">
        <v>2522</v>
      </c>
      <c r="J312" s="27">
        <v>0</v>
      </c>
      <c r="K312" s="27" t="s">
        <v>1141</v>
      </c>
      <c r="L312" s="27"/>
      <c r="M312" s="27"/>
      <c r="N312" s="27"/>
      <c r="O312" s="27"/>
      <c r="P312" s="27"/>
      <c r="Q312" s="27" t="str" cm="1">
        <f t="array" ref="Q312">_xlfn.REGEXEXTRACT(B312,"(?&lt;=//)[^/]+")</f>
        <v>bdsmstreak.com</v>
      </c>
      <c r="R312" s="27" t="s">
        <v>685</v>
      </c>
      <c r="S312" s="27" t="s">
        <v>1750</v>
      </c>
      <c r="T312" s="27" t="str" cm="1">
        <f t="array" ref="T312">IF(S312&lt;&gt;"NotApplicable",_xlfn.REGEXEXTRACT(S312,"\d+(?=p)"),"NotApplicable")</f>
        <v>NotApplicable</v>
      </c>
      <c r="U312" s="27" t="s">
        <v>1750</v>
      </c>
      <c r="V312" s="27" t="b">
        <f>ISNUMBER(SEARCH(",",F312))</f>
        <v>0</v>
      </c>
    </row>
    <row r="313" spans="1:22" ht="45" x14ac:dyDescent="0.25">
      <c r="A313" s="27" t="str">
        <f>IF(ISBLANK(N313)=TRUE,"Pending","Done")</f>
        <v>Pending</v>
      </c>
      <c r="B313" s="27" t="s">
        <v>1857</v>
      </c>
      <c r="C313" s="27">
        <v>47</v>
      </c>
      <c r="D313" s="27" t="str">
        <f>SUBSTITUTE(TRIM(RIGHT(SUBSTITUTE(IF(RIGHT(B313,1)="/",LEFT(B313,LEN(B313)-1),B313),"/",REPT(" ",LEN(B313))),LEN(B313))),"-"," ")</f>
        <v>sexually broken the farmers daughter</v>
      </c>
      <c r="E313" s="27" t="s">
        <v>2326</v>
      </c>
      <c r="F313" s="27" t="s">
        <v>1858</v>
      </c>
      <c r="G313" s="27" t="s">
        <v>70</v>
      </c>
      <c r="H313" s="27" t="s">
        <v>2526</v>
      </c>
      <c r="I313" s="27" t="s">
        <v>2524</v>
      </c>
      <c r="J313" s="27">
        <v>0</v>
      </c>
      <c r="K313" s="27" t="s">
        <v>1609</v>
      </c>
      <c r="L313" s="27"/>
      <c r="M313" s="27"/>
      <c r="N313" s="27"/>
      <c r="O313" s="27"/>
      <c r="P313" s="27"/>
      <c r="Q313" s="27" t="str" cm="1">
        <f t="array" ref="Q313">_xlfn.REGEXEXTRACT(B313,"(?&lt;=//)[^/]+")</f>
        <v>bdsmstreak.com</v>
      </c>
      <c r="R313" s="27" t="s">
        <v>685</v>
      </c>
      <c r="S313" s="27" t="s">
        <v>1750</v>
      </c>
      <c r="T313" s="27" t="str" cm="1">
        <f t="array" ref="T313">IF(S313&lt;&gt;"NotApplicable",_xlfn.REGEXEXTRACT(S313,"\d+(?=p)"),"NotApplicable")</f>
        <v>NotApplicable</v>
      </c>
      <c r="U313" s="27" t="s">
        <v>1750</v>
      </c>
      <c r="V313" s="27" t="b">
        <f>ISNUMBER(SEARCH(",",F313))</f>
        <v>0</v>
      </c>
    </row>
    <row r="314" spans="1:22" ht="30" x14ac:dyDescent="0.25">
      <c r="A314" s="27" t="str">
        <f>IF(ISBLANK(N314)=TRUE,"Pending","Done")</f>
        <v>Pending</v>
      </c>
      <c r="B314" s="27" t="s">
        <v>1949</v>
      </c>
      <c r="C314" s="27">
        <v>38</v>
      </c>
      <c r="D314" s="27" t="str">
        <f>SUBSTITUTE(TRIM(RIGHT(SUBSTITUTE(IF(RIGHT(B314,1)="/",LEFT(B314,LEN(B314)-1),B314),"/",REPT(" ",LEN(B314))),LEN(B314))),"-"," ")</f>
        <v>77281</v>
      </c>
      <c r="E314" s="27" t="s">
        <v>853</v>
      </c>
      <c r="F314" s="27" t="s">
        <v>1950</v>
      </c>
      <c r="G314" s="27" t="s">
        <v>70</v>
      </c>
      <c r="H314" s="27" t="s">
        <v>2527</v>
      </c>
      <c r="I314" s="27" t="s">
        <v>2527</v>
      </c>
      <c r="J314" s="27">
        <v>0</v>
      </c>
      <c r="K314" s="27" t="s">
        <v>1141</v>
      </c>
      <c r="L314" s="27"/>
      <c r="M314" s="27"/>
      <c r="N314" s="27"/>
      <c r="O314" s="27"/>
      <c r="P314" s="27"/>
      <c r="Q314" s="27" t="str" cm="1">
        <f t="array" ref="Q314">_xlfn.REGEXEXTRACT(B314,"(?&lt;=//)[^/]+")</f>
        <v>bdsmstreak.com</v>
      </c>
      <c r="R314" s="27" t="s">
        <v>685</v>
      </c>
      <c r="S314" s="27" t="s">
        <v>1750</v>
      </c>
      <c r="T314" s="27" t="str" cm="1">
        <f t="array" ref="T314">IF(S314&lt;&gt;"NotApplicable",_xlfn.REGEXEXTRACT(S314,"\d+(?=p)"),"NotApplicable")</f>
        <v>NotApplicable</v>
      </c>
      <c r="U314" s="27" t="s">
        <v>1750</v>
      </c>
      <c r="V314" s="27" t="b">
        <f>ISNUMBER(SEARCH(",",F314))</f>
        <v>0</v>
      </c>
    </row>
    <row r="315" spans="1:22" ht="30" x14ac:dyDescent="0.25">
      <c r="A315" s="27" t="str">
        <f>IF(ISBLANK(N315)=TRUE,"Pending","Done")</f>
        <v>Pending</v>
      </c>
      <c r="B315" s="27" t="s">
        <v>2098</v>
      </c>
      <c r="C315" s="27">
        <v>50</v>
      </c>
      <c r="D315" s="27" t="str">
        <f>SUBSTITUTE(TRIM(RIGHT(SUBSTITUTE(IF(RIGHT(B315,1)="/",LEFT(B315,LEN(B315)-1),B315),"/",REPT(" ",LEN(B315))),LEN(B315))),"-"," ")</f>
        <v>tiny sex kitten isabella nice submits in rope bondage and anal fucking</v>
      </c>
      <c r="E315" s="27" t="s">
        <v>1572</v>
      </c>
      <c r="F315" s="27" t="s">
        <v>2099</v>
      </c>
      <c r="G315" s="27" t="s">
        <v>70</v>
      </c>
      <c r="H315" s="27" t="s">
        <v>2528</v>
      </c>
      <c r="I315" s="27" t="s">
        <v>2528</v>
      </c>
      <c r="J315" s="27">
        <v>0</v>
      </c>
      <c r="K315" s="27" t="s">
        <v>1141</v>
      </c>
      <c r="L315" s="27"/>
      <c r="M315" s="27"/>
      <c r="N315" s="27"/>
      <c r="O315" s="27"/>
      <c r="P315" s="27"/>
      <c r="Q315" s="27" t="str" cm="1">
        <f t="array" ref="Q315">_xlfn.REGEXEXTRACT(B315,"(?&lt;=//)[^/]+")</f>
        <v>bdsmstreak.com</v>
      </c>
      <c r="R315" s="27" t="s">
        <v>685</v>
      </c>
      <c r="S315" s="27" t="s">
        <v>1750</v>
      </c>
      <c r="T315" s="27" t="str" cm="1">
        <f t="array" ref="T315">IF(S315&lt;&gt;"NotApplicable",_xlfn.REGEXEXTRACT(S315,"\d+(?=p)"),"NotApplicable")</f>
        <v>NotApplicable</v>
      </c>
      <c r="U315" s="27" t="s">
        <v>1750</v>
      </c>
      <c r="V315" s="27" t="b">
        <f>ISNUMBER(SEARCH(",",F315))</f>
        <v>0</v>
      </c>
    </row>
    <row r="316" spans="1:22" ht="30" x14ac:dyDescent="0.25">
      <c r="A316" s="27" t="str">
        <f>IF(ISBLANK(N316)=TRUE,"Pending","Done")</f>
        <v>Pending</v>
      </c>
      <c r="B316" s="27" t="s">
        <v>1923</v>
      </c>
      <c r="C316" s="27">
        <v>52</v>
      </c>
      <c r="D316" s="27" t="str">
        <f>SUBSTITUTE(TRIM(RIGHT(SUBSTITUTE(IF(RIGHT(B316,1)="/",LEFT(B316,LEN(B316)-1),B316),"/",REPT(" ",LEN(B316))),LEN(B316))),"-"," ")</f>
        <v>mark davis and nadia styles</v>
      </c>
      <c r="E316" s="27" t="s">
        <v>845</v>
      </c>
      <c r="F316" s="27" t="s">
        <v>1924</v>
      </c>
      <c r="G316" s="27" t="s">
        <v>70</v>
      </c>
      <c r="H316" s="27" t="s">
        <v>2529</v>
      </c>
      <c r="I316" s="27" t="s">
        <v>2529</v>
      </c>
      <c r="J316" s="27">
        <v>7</v>
      </c>
      <c r="K316" s="27" t="s">
        <v>1925</v>
      </c>
      <c r="L316" s="27"/>
      <c r="M316" s="27"/>
      <c r="N316" s="27"/>
      <c r="O316" s="27"/>
      <c r="P316" s="27"/>
      <c r="Q316" s="27" t="str" cm="1">
        <f t="array" ref="Q316">_xlfn.REGEXEXTRACT(B316,"(?&lt;=//)[^/]+")</f>
        <v>bdsmstreak.com</v>
      </c>
      <c r="R316" s="27" t="s">
        <v>685</v>
      </c>
      <c r="S316" s="27" t="s">
        <v>1750</v>
      </c>
      <c r="T316" s="27" t="str" cm="1">
        <f t="array" ref="T316">IF(S316&lt;&gt;"NotApplicable",_xlfn.REGEXEXTRACT(S316,"\d+(?=p)"),"NotApplicable")</f>
        <v>NotApplicable</v>
      </c>
      <c r="U316" s="27" t="s">
        <v>1750</v>
      </c>
      <c r="V316" s="27" t="b">
        <f>ISNUMBER(SEARCH(",",F316))</f>
        <v>0</v>
      </c>
    </row>
    <row r="317" spans="1:22" ht="30" x14ac:dyDescent="0.25">
      <c r="A317" s="27" t="str">
        <f>IF(ISBLANK(N317)=TRUE,"Pending","Done")</f>
        <v>Pending</v>
      </c>
      <c r="B317" s="27" t="s">
        <v>1998</v>
      </c>
      <c r="C317" s="27">
        <v>46</v>
      </c>
      <c r="D317" s="27" t="str">
        <f>SUBSTITUTE(TRIM(RIGHT(SUBSTITUTE(IF(RIGHT(B317,1)="/",LEFT(B317,LEN(B317)-1),B317),"/",REPT(" ",LEN(B317))),LEN(B317))),"-"," ")</f>
        <v>public gangbang 3</v>
      </c>
      <c r="E317" s="27" t="s">
        <v>1986</v>
      </c>
      <c r="F317" s="27" t="s">
        <v>1999</v>
      </c>
      <c r="G317" s="27" t="s">
        <v>70</v>
      </c>
      <c r="H317" s="27" t="s">
        <v>2530</v>
      </c>
      <c r="I317" s="27" t="s">
        <v>2530</v>
      </c>
      <c r="J317" s="27">
        <v>1</v>
      </c>
      <c r="K317" s="27" t="s">
        <v>2000</v>
      </c>
      <c r="L317" s="27"/>
      <c r="M317" s="27"/>
      <c r="N317" s="27"/>
      <c r="O317" s="27"/>
      <c r="P317" s="27"/>
      <c r="Q317" s="27" t="str" cm="1">
        <f t="array" ref="Q317">_xlfn.REGEXEXTRACT(B317,"(?&lt;=//)[^/]+")</f>
        <v>hcbdsm.com</v>
      </c>
      <c r="R317" s="27" t="s">
        <v>685</v>
      </c>
      <c r="S317" s="27" t="s">
        <v>1750</v>
      </c>
      <c r="T317" s="27" t="str" cm="1">
        <f t="array" ref="T317">IF(S317&lt;&gt;"NotApplicable",_xlfn.REGEXEXTRACT(S317,"\d+(?=p)"),"NotApplicable")</f>
        <v>NotApplicable</v>
      </c>
      <c r="U317" s="27" t="s">
        <v>1750</v>
      </c>
      <c r="V317" s="27" t="b">
        <f>ISNUMBER(SEARCH(",",F317))</f>
        <v>0</v>
      </c>
    </row>
    <row r="318" spans="1:22" ht="30" x14ac:dyDescent="0.25">
      <c r="A318" s="27" t="str">
        <f>IF(ISBLANK(N318)=TRUE,"Pending","Done")</f>
        <v>Pending</v>
      </c>
      <c r="B318" s="27" t="s">
        <v>1985</v>
      </c>
      <c r="C318" s="27">
        <v>75</v>
      </c>
      <c r="D318" s="27" t="str">
        <f>SUBSTITUTE(TRIM(RIGHT(SUBSTITUTE(IF(RIGHT(B318,1)="/",LEFT(B318,LEN(B318)-1),B318),"/",REPT(" ",LEN(B318))),LEN(B318))),"-"," ")</f>
        <v>pom pom girl gets gang banged by basketball coach and team</v>
      </c>
      <c r="E318" s="27" t="s">
        <v>1986</v>
      </c>
      <c r="F318" s="27" t="s">
        <v>1987</v>
      </c>
      <c r="G318" s="27" t="s">
        <v>70</v>
      </c>
      <c r="H318" s="27" t="s">
        <v>2531</v>
      </c>
      <c r="I318" s="27" t="s">
        <v>2531</v>
      </c>
      <c r="J318" s="27">
        <v>1</v>
      </c>
      <c r="K318" s="27" t="s">
        <v>1988</v>
      </c>
      <c r="L318" s="27"/>
      <c r="M318" s="27"/>
      <c r="N318" s="27"/>
      <c r="O318" s="27"/>
      <c r="P318" s="27"/>
      <c r="Q318" s="27" t="str" cm="1">
        <f t="array" ref="Q318">_xlfn.REGEXEXTRACT(B318,"(?&lt;=//)[^/]+")</f>
        <v>bdsmstreak.com</v>
      </c>
      <c r="R318" s="27" t="s">
        <v>685</v>
      </c>
      <c r="S318" s="27" t="s">
        <v>1750</v>
      </c>
      <c r="T318" s="27" t="str" cm="1">
        <f t="array" ref="T318">IF(S318&lt;&gt;"NotApplicable",_xlfn.REGEXEXTRACT(S318,"\d+(?=p)"),"NotApplicable")</f>
        <v>NotApplicable</v>
      </c>
      <c r="U318" s="27" t="s">
        <v>1750</v>
      </c>
      <c r="V318" s="27" t="b">
        <f>ISNUMBER(SEARCH(",",F318))</f>
        <v>0</v>
      </c>
    </row>
    <row r="319" spans="1:22" ht="45" x14ac:dyDescent="0.25">
      <c r="A319" s="27" t="str">
        <f>IF(ISBLANK(N319)=TRUE,"Pending","Done")</f>
        <v>Pending</v>
      </c>
      <c r="B319" s="27" t="s">
        <v>2032</v>
      </c>
      <c r="C319" s="27">
        <v>66</v>
      </c>
      <c r="D319" s="27" t="str">
        <f>SUBSTITUTE(TRIM(RIGHT(SUBSTITUTE(IF(RIGHT(B319,1)="/",LEFT(B319,LEN(B319)-1),B319),"/",REPT(" ",LEN(B319))),LEN(B319))),"-"," ")</f>
        <v>6106</v>
      </c>
      <c r="E319" s="27" t="s">
        <v>853</v>
      </c>
      <c r="F319" s="27" t="s">
        <v>193</v>
      </c>
      <c r="G319" s="27" t="s">
        <v>70</v>
      </c>
      <c r="H319" s="27" t="s">
        <v>2197</v>
      </c>
      <c r="I319" s="27" t="s">
        <v>2197</v>
      </c>
      <c r="J319" s="27">
        <v>2</v>
      </c>
      <c r="K319" s="27" t="s">
        <v>2033</v>
      </c>
      <c r="L319" s="27"/>
      <c r="M319" s="27"/>
      <c r="N319" s="27"/>
      <c r="O319" s="27"/>
      <c r="P319" s="27"/>
      <c r="Q319" s="27" t="str" cm="1">
        <f t="array" ref="Q319">_xlfn.REGEXEXTRACT(B319,"(?&lt;=//)[^/]+")</f>
        <v>www.kink.com</v>
      </c>
      <c r="R319" s="27" t="s">
        <v>685</v>
      </c>
      <c r="S319" s="27" t="s">
        <v>1750</v>
      </c>
      <c r="T319" s="27" t="str" cm="1">
        <f t="array" ref="T319">IF(S319&lt;&gt;"NotApplicable",_xlfn.REGEXEXTRACT(S319,"\d+(?=p)"),"NotApplicable")</f>
        <v>NotApplicable</v>
      </c>
      <c r="U319" s="27" t="s">
        <v>1750</v>
      </c>
      <c r="V319" s="27" t="b">
        <f>ISNUMBER(SEARCH(",",F319))</f>
        <v>0</v>
      </c>
    </row>
    <row r="320" spans="1:22" ht="30" x14ac:dyDescent="0.25">
      <c r="A320" s="27" t="str">
        <f>IF(ISBLANK(N320)=TRUE,"Pending","Done")</f>
        <v>Pending</v>
      </c>
      <c r="B320" s="27" t="s">
        <v>1613</v>
      </c>
      <c r="C320" s="27">
        <v>77</v>
      </c>
      <c r="D320" s="27" t="str">
        <f>SUBSTITUTE(TRIM(RIGHT(SUBSTITUTE(IF(RIGHT(B320,1)="/",LEFT(B320,LEN(B320)-1),B320),"/",REPT(" ",LEN(B320))),LEN(B320))),"-"," ")</f>
        <v>35336</v>
      </c>
      <c r="E320" s="27" t="s">
        <v>853</v>
      </c>
      <c r="F320" s="27" t="s">
        <v>1615</v>
      </c>
      <c r="G320" s="27" t="s">
        <v>70</v>
      </c>
      <c r="H320" s="27" t="s">
        <v>2203</v>
      </c>
      <c r="I320" s="27" t="s">
        <v>2203</v>
      </c>
      <c r="J320" s="27" t="s">
        <v>1750</v>
      </c>
      <c r="K320" s="27" t="s">
        <v>1750</v>
      </c>
      <c r="L320" s="27"/>
      <c r="M320" s="27"/>
      <c r="N320" s="27"/>
      <c r="O320" s="27"/>
      <c r="P320" s="27" t="s">
        <v>1616</v>
      </c>
      <c r="Q320" s="27" t="str" cm="1">
        <f t="array" ref="Q320">_xlfn.REGEXEXTRACT(B320,"(?&lt;=//)[^/]+")</f>
        <v>www.kink.com</v>
      </c>
      <c r="R320" s="27" t="s">
        <v>685</v>
      </c>
      <c r="S320" s="27" t="s">
        <v>1750</v>
      </c>
      <c r="T320" s="27" t="str" cm="1">
        <f t="array" ref="T320">IF(S320&lt;&gt;"NotApplicable",_xlfn.REGEXEXTRACT(S320,"\d+(?=p)"),"NotApplicable")</f>
        <v>NotApplicable</v>
      </c>
      <c r="U320" s="27" t="s">
        <v>1750</v>
      </c>
      <c r="V320" s="27" t="b">
        <f>ISNUMBER(SEARCH(",",F320))</f>
        <v>0</v>
      </c>
    </row>
    <row r="321" spans="1:22" ht="30" x14ac:dyDescent="0.25">
      <c r="A321" s="27" t="str">
        <f>IF(ISBLANK(N321)=TRUE,"Pending","Done")</f>
        <v>Pending</v>
      </c>
      <c r="B321" s="27" t="s">
        <v>1993</v>
      </c>
      <c r="C321" s="27">
        <v>80</v>
      </c>
      <c r="D321" s="27" t="str">
        <f>SUBSTITUTE(TRIM(RIGHT(SUBSTITUTE(IF(RIGHT(B321,1)="/",LEFT(B321,LEN(B321)-1),B321),"/",REPT(" ",LEN(B321))),LEN(B321))),"-"," ")</f>
        <v>pussy princess donna is sandras electrosubmissive</v>
      </c>
      <c r="E321" s="27" t="s">
        <v>848</v>
      </c>
      <c r="F321" s="27" t="s">
        <v>1994</v>
      </c>
      <c r="G321" s="27" t="s">
        <v>71</v>
      </c>
      <c r="H321" s="27" t="s">
        <v>2682</v>
      </c>
      <c r="I321" s="27" t="s">
        <v>2681</v>
      </c>
      <c r="J321" s="27">
        <v>5</v>
      </c>
      <c r="K321" s="27" t="s">
        <v>1995</v>
      </c>
      <c r="L321" s="27" t="s">
        <v>1690</v>
      </c>
      <c r="M321" s="27"/>
      <c r="N321" s="27"/>
      <c r="O321" s="27"/>
      <c r="P321" s="27"/>
      <c r="Q321" s="27" t="str" cm="1">
        <f t="array" ref="Q321">_xlfn.REGEXEXTRACT(B321,"(?&lt;=//)[^/]+")</f>
        <v>bdsmstreak.com</v>
      </c>
      <c r="R321" s="27" t="s">
        <v>685</v>
      </c>
      <c r="S321" s="27" t="s">
        <v>1750</v>
      </c>
      <c r="T321" s="27" t="str" cm="1">
        <f t="array" ref="T321">IF(S321&lt;&gt;"NotApplicable",_xlfn.REGEXEXTRACT(S321,"\d+(?=p)"),"NotApplicable")</f>
        <v>NotApplicable</v>
      </c>
      <c r="U321" s="27" t="s">
        <v>1750</v>
      </c>
      <c r="V321" s="27" t="b">
        <f>ISNUMBER(SEARCH(",",F321))</f>
        <v>1</v>
      </c>
    </row>
    <row r="322" spans="1:22" ht="30" x14ac:dyDescent="0.25">
      <c r="A322" s="27" t="str">
        <f>IF(ISBLANK(N322)=TRUE,"Pending","Done")</f>
        <v>Pending</v>
      </c>
      <c r="B322" s="27" t="s">
        <v>1448</v>
      </c>
      <c r="C322" s="27">
        <v>24</v>
      </c>
      <c r="D322" s="27" t="str">
        <f>SUBSTITUTE(TRIM(RIGHT(SUBSTITUTE(IF(RIGHT(B322,1)="/",LEFT(B322,LEN(B322)-1),B322),"/",REPT(" ",LEN(B322))),LEN(B322))),"-"," ")</f>
        <v>splits</v>
      </c>
      <c r="E322" s="27" t="s">
        <v>93</v>
      </c>
      <c r="F322" s="27" t="s">
        <v>2686</v>
      </c>
      <c r="G322" s="27" t="s">
        <v>71</v>
      </c>
      <c r="H322" s="27" t="s">
        <v>2685</v>
      </c>
      <c r="I322" s="27" t="s">
        <v>2685</v>
      </c>
      <c r="J322" s="27" t="s">
        <v>1750</v>
      </c>
      <c r="K322" s="27" t="s">
        <v>1750</v>
      </c>
      <c r="L322" s="27" t="s">
        <v>1690</v>
      </c>
      <c r="M322" s="27"/>
      <c r="N322" s="27"/>
      <c r="O322" s="27"/>
      <c r="P322" s="27"/>
      <c r="Q322" s="27" t="str" cm="1">
        <f t="array" ref="Q322">_xlfn.REGEXEXTRACT(B322,"(?&lt;=//)[^/]+")</f>
        <v>queensnake.com</v>
      </c>
      <c r="R322" s="27" t="s">
        <v>685</v>
      </c>
      <c r="S322" s="27" t="s">
        <v>1750</v>
      </c>
      <c r="T322" s="27" t="str" cm="1">
        <f t="array" ref="T322">IF(S322&lt;&gt;"NotApplicable",_xlfn.REGEXEXTRACT(S322,"\d+(?=p)"),"NotApplicable")</f>
        <v>NotApplicable</v>
      </c>
      <c r="U322" s="27" t="s">
        <v>1750</v>
      </c>
      <c r="V322" s="27" t="b">
        <f>ISNUMBER(SEARCH(",",F322))</f>
        <v>1</v>
      </c>
    </row>
    <row r="323" spans="1:22" ht="30" x14ac:dyDescent="0.25">
      <c r="A323" s="27" t="str">
        <f>IF(ISBLANK(N323)=TRUE,"Pending","Done")</f>
        <v>Pending</v>
      </c>
      <c r="B323" s="27" t="s">
        <v>1905</v>
      </c>
      <c r="C323" s="27">
        <v>43</v>
      </c>
      <c r="D323" s="27" t="str">
        <f>SUBSTITUTE(TRIM(RIGHT(SUBSTITUTE(IF(RIGHT(B323,1)="/",LEFT(B323,LEN(B323)-1),B323),"/",REPT(" ",LEN(B323))),LEN(B323))),"-"," ")</f>
        <v>lorelei lee is bent in unforgiving device bondage</v>
      </c>
      <c r="E323" s="27" t="s">
        <v>853</v>
      </c>
      <c r="F323" s="27" t="s">
        <v>274</v>
      </c>
      <c r="G323" s="27" t="s">
        <v>70</v>
      </c>
      <c r="H323" s="27" t="s">
        <v>2695</v>
      </c>
      <c r="I323" s="27" t="s">
        <v>2695</v>
      </c>
      <c r="J323" s="27">
        <v>5</v>
      </c>
      <c r="K323" s="27" t="s">
        <v>1906</v>
      </c>
      <c r="L323" s="27"/>
      <c r="M323" s="27"/>
      <c r="N323" s="27"/>
      <c r="O323" s="27"/>
      <c r="P323" s="27"/>
      <c r="Q323" s="27" t="str" cm="1">
        <f t="array" ref="Q323">_xlfn.REGEXEXTRACT(B323,"(?&lt;=//)[^/]+")</f>
        <v>bdsmstreak.com</v>
      </c>
      <c r="R323" s="27" t="s">
        <v>685</v>
      </c>
      <c r="S323" s="27" t="s">
        <v>1750</v>
      </c>
      <c r="T323" s="27" t="str" cm="1">
        <f t="array" ref="T323">IF(S323&lt;&gt;"NotApplicable",_xlfn.REGEXEXTRACT(S323,"\d+(?=p)"),"NotApplicable")</f>
        <v>NotApplicable</v>
      </c>
      <c r="U323" s="27" t="s">
        <v>1750</v>
      </c>
      <c r="V323" s="27" t="b">
        <f>ISNUMBER(SEARCH(",",F323))</f>
        <v>0</v>
      </c>
    </row>
    <row r="324" spans="1:22" ht="30" x14ac:dyDescent="0.25">
      <c r="A324" s="27" t="str">
        <f>IF(ISBLANK(N324)=TRUE,"Pending","Done")</f>
        <v>Pending</v>
      </c>
      <c r="B324" s="27" t="s">
        <v>1850</v>
      </c>
      <c r="C324" s="27">
        <v>44</v>
      </c>
      <c r="D324" s="27" t="str">
        <f>SUBSTITUTE(TRIM(RIGHT(SUBSTITUTE(IF(RIGHT(B324,1)="/",LEFT(B324,LEN(B324)-1),B324),"/",REPT(" ",LEN(B324))),LEN(B324))),"-"," ")</f>
        <v>fresh meat rosalyn sphinx</v>
      </c>
      <c r="E324" s="27" t="s">
        <v>853</v>
      </c>
      <c r="F324" s="27" t="s">
        <v>1851</v>
      </c>
      <c r="G324" s="27" t="s">
        <v>70</v>
      </c>
      <c r="H324" s="27" t="s">
        <v>2696</v>
      </c>
      <c r="I324" s="27" t="s">
        <v>2696</v>
      </c>
      <c r="J324" s="27">
        <v>0</v>
      </c>
      <c r="K324" s="27" t="s">
        <v>1141</v>
      </c>
      <c r="L324" s="27"/>
      <c r="M324" s="27"/>
      <c r="N324" s="27"/>
      <c r="O324" s="27"/>
      <c r="P324" s="27"/>
      <c r="Q324" s="27" t="str" cm="1">
        <f t="array" ref="Q324">_xlfn.REGEXEXTRACT(B324,"(?&lt;=//)[^/]+")</f>
        <v>bdsmstreak.com</v>
      </c>
      <c r="R324" s="27" t="s">
        <v>685</v>
      </c>
      <c r="S324" s="27" t="s">
        <v>1750</v>
      </c>
      <c r="T324" s="27" t="str" cm="1">
        <f t="array" ref="T324">IF(S324&lt;&gt;"NotApplicable",_xlfn.REGEXEXTRACT(S324,"\d+(?=p)"),"NotApplicable")</f>
        <v>NotApplicable</v>
      </c>
      <c r="U324" s="27" t="s">
        <v>1750</v>
      </c>
      <c r="V324" s="27" t="b">
        <f>ISNUMBER(SEARCH(",",F324))</f>
        <v>0</v>
      </c>
    </row>
    <row r="325" spans="1:22" ht="30" x14ac:dyDescent="0.25">
      <c r="A325" s="27" t="str">
        <f>IF(ISBLANK(N325)=TRUE,"Pending","Done")</f>
        <v>Pending</v>
      </c>
      <c r="B325" s="27" t="s">
        <v>1975</v>
      </c>
      <c r="C325" s="27">
        <v>44</v>
      </c>
      <c r="D325" s="27" t="str">
        <f>SUBSTITUTE(TRIM(RIGHT(SUBSTITUTE(IF(RIGHT(B325,1)="/",LEFT(B325,LEN(B325)-1),B325),"/",REPT(" ",LEN(B325))),LEN(B325))),"-"," ")</f>
        <v>petite asian bondage virgin gets a dose of suffering2</v>
      </c>
      <c r="E325" s="27" t="s">
        <v>853</v>
      </c>
      <c r="F325" s="27" t="s">
        <v>1976</v>
      </c>
      <c r="G325" s="27" t="s">
        <v>70</v>
      </c>
      <c r="H325" s="27" t="s">
        <v>2697</v>
      </c>
      <c r="I325" s="27" t="s">
        <v>2697</v>
      </c>
      <c r="J325" s="27">
        <v>0</v>
      </c>
      <c r="K325" s="27" t="s">
        <v>1141</v>
      </c>
      <c r="L325" s="27"/>
      <c r="M325" s="27"/>
      <c r="N325" s="27"/>
      <c r="O325" s="27"/>
      <c r="P325" s="27"/>
      <c r="Q325" s="27" t="str" cm="1">
        <f t="array" ref="Q325">_xlfn.REGEXEXTRACT(B325,"(?&lt;=//)[^/]+")</f>
        <v>hcbdsm.com</v>
      </c>
      <c r="R325" s="27" t="s">
        <v>685</v>
      </c>
      <c r="S325" s="27" t="s">
        <v>1750</v>
      </c>
      <c r="T325" s="27" t="str" cm="1">
        <f t="array" ref="T325">IF(S325&lt;&gt;"NotApplicable",_xlfn.REGEXEXTRACT(S325,"\d+(?=p)"),"NotApplicable")</f>
        <v>NotApplicable</v>
      </c>
      <c r="U325" s="27" t="s">
        <v>1750</v>
      </c>
      <c r="V325" s="27" t="b">
        <f>ISNUMBER(SEARCH(",",F325))</f>
        <v>0</v>
      </c>
    </row>
    <row r="326" spans="1:22" ht="30" x14ac:dyDescent="0.25">
      <c r="A326" s="27" t="str">
        <f>IF(ISBLANK(N326)=TRUE,"Pending","Done")</f>
        <v>Pending</v>
      </c>
      <c r="B326" s="27" t="s">
        <v>1550</v>
      </c>
      <c r="C326" s="27">
        <v>45</v>
      </c>
      <c r="D326" s="27" t="str">
        <f>SUBSTITUTE(TRIM(RIGHT(SUBSTITUTE(IF(RIGHT(B326,1)="/",LEFT(B326,LEN(B326)-1),B326),"/",REPT(" ",LEN(B326))),LEN(B326))),"-"," ")</f>
        <v>annie cruz bitch in heat</v>
      </c>
      <c r="E326" s="27" t="s">
        <v>853</v>
      </c>
      <c r="F326" s="27" t="s">
        <v>1575</v>
      </c>
      <c r="G326" s="27" t="s">
        <v>70</v>
      </c>
      <c r="H326" s="27" t="s">
        <v>2699</v>
      </c>
      <c r="I326" s="27" t="s">
        <v>2698</v>
      </c>
      <c r="J326" s="27">
        <v>1</v>
      </c>
      <c r="K326" s="27" t="s">
        <v>2053</v>
      </c>
      <c r="L326" s="27"/>
      <c r="M326" s="27"/>
      <c r="N326" s="27"/>
      <c r="O326" s="27"/>
      <c r="P326" s="27" t="s">
        <v>1604</v>
      </c>
      <c r="Q326" s="27" t="str" cm="1">
        <f t="array" ref="Q326">_xlfn.REGEXEXTRACT(B326,"(?&lt;=//)[^/]+")</f>
        <v>hcbdsm.com</v>
      </c>
      <c r="R326" s="27" t="s">
        <v>685</v>
      </c>
      <c r="S326" s="27" t="s">
        <v>1750</v>
      </c>
      <c r="T326" s="27" t="str" cm="1">
        <f t="array" ref="T326">IF(S326&lt;&gt;"NotApplicable",_xlfn.REGEXEXTRACT(S326,"\d+(?=p)"),"NotApplicable")</f>
        <v>NotApplicable</v>
      </c>
      <c r="U326" s="27" t="s">
        <v>1750</v>
      </c>
      <c r="V326" s="27" t="b">
        <f>ISNUMBER(SEARCH(",",F326))</f>
        <v>0</v>
      </c>
    </row>
    <row r="327" spans="1:22" ht="30" x14ac:dyDescent="0.25">
      <c r="A327" s="27" t="str">
        <f>IF(ISBLANK(N327)=TRUE,"Pending","Done")</f>
        <v>Pending</v>
      </c>
      <c r="B327" s="27" t="s">
        <v>1798</v>
      </c>
      <c r="C327" s="27">
        <v>45</v>
      </c>
      <c r="D327" s="27" t="str">
        <f>SUBSTITUTE(TRIM(RIGHT(SUBSTITUTE(IF(RIGHT(B327,1)="/",LEFT(B327,LEN(B327)-1),B327),"/",REPT(" ",LEN(B327))),LEN(B327))),"-"," ")</f>
        <v>damage me please</v>
      </c>
      <c r="E327" s="27" t="s">
        <v>853</v>
      </c>
      <c r="F327" s="27" t="s">
        <v>1799</v>
      </c>
      <c r="G327" s="27" t="s">
        <v>70</v>
      </c>
      <c r="H327" s="27" t="s">
        <v>2700</v>
      </c>
      <c r="I327" s="27" t="s">
        <v>2700</v>
      </c>
      <c r="J327" s="27">
        <v>3</v>
      </c>
      <c r="K327" s="27" t="s">
        <v>1800</v>
      </c>
      <c r="L327" s="27"/>
      <c r="M327" s="27"/>
      <c r="N327" s="27"/>
      <c r="O327" s="27"/>
      <c r="P327" s="27"/>
      <c r="Q327" s="27" t="str" cm="1">
        <f t="array" ref="Q327">_xlfn.REGEXEXTRACT(B327,"(?&lt;=//)[^/]+")</f>
        <v>bdsmstreak.com</v>
      </c>
      <c r="R327" s="27" t="s">
        <v>685</v>
      </c>
      <c r="S327" s="27" t="s">
        <v>1750</v>
      </c>
      <c r="T327" s="27" t="str" cm="1">
        <f t="array" ref="T327">IF(S327&lt;&gt;"NotApplicable",_xlfn.REGEXEXTRACT(S327,"\d+(?=p)"),"NotApplicable")</f>
        <v>NotApplicable</v>
      </c>
      <c r="U327" s="27" t="s">
        <v>1750</v>
      </c>
      <c r="V327" s="27" t="b">
        <f>ISNUMBER(SEARCH(",",F327))</f>
        <v>0</v>
      </c>
    </row>
    <row r="328" spans="1:22" ht="30" x14ac:dyDescent="0.25">
      <c r="A328" s="27" t="str">
        <f>IF(ISBLANK(N328)=TRUE,"Pending","Done")</f>
        <v>Pending</v>
      </c>
      <c r="B328" s="27" t="s">
        <v>2702</v>
      </c>
      <c r="C328" s="27">
        <v>46</v>
      </c>
      <c r="D328" s="27" t="str">
        <f>SUBSTITUTE(TRIM(RIGHT(SUBSTITUTE(IF(RIGHT(B328,1)="/",LEFT(B328,LEN(B328)-1),B328),"/",REPT(" ",LEN(B328))),LEN(B328))),"-"," ")</f>
        <v>mason winter sky and christina carter part 1 of 4 of the july live feed</v>
      </c>
      <c r="E328" s="27" t="s">
        <v>853</v>
      </c>
      <c r="F328" s="27" t="s">
        <v>1929</v>
      </c>
      <c r="G328" s="27" t="s">
        <v>70</v>
      </c>
      <c r="H328" s="27" t="s">
        <v>2701</v>
      </c>
      <c r="I328" s="27" t="s">
        <v>2701</v>
      </c>
      <c r="J328" s="27">
        <v>0</v>
      </c>
      <c r="K328" s="27" t="s">
        <v>1141</v>
      </c>
      <c r="L328" s="27" t="s">
        <v>1691</v>
      </c>
      <c r="M328" s="27"/>
      <c r="N328" s="27"/>
      <c r="O328" s="27"/>
      <c r="P328" s="27"/>
      <c r="Q328" s="27" t="str" cm="1">
        <f t="array" ref="Q328">_xlfn.REGEXEXTRACT(B328,"(?&lt;=//)[^/]+")</f>
        <v>bdsmstreak.com</v>
      </c>
      <c r="R328" s="27" t="s">
        <v>685</v>
      </c>
      <c r="S328" s="27" t="s">
        <v>1750</v>
      </c>
      <c r="T328" s="27" t="str" cm="1">
        <f t="array" ref="T328">IF(S328&lt;&gt;"NotApplicable",_xlfn.REGEXEXTRACT(S328,"\d+(?=p)"),"NotApplicable")</f>
        <v>NotApplicable</v>
      </c>
      <c r="U328" s="27" t="s">
        <v>1750</v>
      </c>
      <c r="V328" s="27" t="b">
        <f>ISNUMBER(SEARCH(",",F328))</f>
        <v>1</v>
      </c>
    </row>
    <row r="329" spans="1:22" ht="30" x14ac:dyDescent="0.25">
      <c r="A329" s="27" t="str">
        <f>IF(ISBLANK(N329)=TRUE,"Pending","Done")</f>
        <v>Pending</v>
      </c>
      <c r="B329" s="27" t="s">
        <v>2051</v>
      </c>
      <c r="C329" s="27">
        <v>47</v>
      </c>
      <c r="D329" s="27" t="str">
        <f>SUBSTITUTE(TRIM(RIGHT(SUBSTITUTE(IF(RIGHT(B329,1)="/",LEFT(B329,LEN(B329)-1),B329),"/",REPT(" ",LEN(B329))),LEN(B329))),"-"," ")</f>
        <v>super sexy alt pain slut captured in brutal bondage and tormented</v>
      </c>
      <c r="E329" s="27" t="s">
        <v>853</v>
      </c>
      <c r="F329" s="27" t="s">
        <v>2052</v>
      </c>
      <c r="G329" s="27" t="s">
        <v>70</v>
      </c>
      <c r="H329" s="27" t="s">
        <v>2704</v>
      </c>
      <c r="I329" s="27" t="s">
        <v>2703</v>
      </c>
      <c r="J329" s="27">
        <v>3</v>
      </c>
      <c r="K329" s="27" t="s">
        <v>2053</v>
      </c>
      <c r="L329" s="27"/>
      <c r="M329" s="27"/>
      <c r="N329" s="27"/>
      <c r="O329" s="27"/>
      <c r="P329" s="27"/>
      <c r="Q329" s="27" t="str" cm="1">
        <f t="array" ref="Q329">_xlfn.REGEXEXTRACT(B329,"(?&lt;=//)[^/]+")</f>
        <v>bdsmstreak.com</v>
      </c>
      <c r="R329" s="27" t="s">
        <v>685</v>
      </c>
      <c r="S329" s="27" t="s">
        <v>1750</v>
      </c>
      <c r="T329" s="27" t="str" cm="1">
        <f t="array" ref="T329">IF(S329&lt;&gt;"NotApplicable",_xlfn.REGEXEXTRACT(S329,"\d+(?=p)"),"NotApplicable")</f>
        <v>NotApplicable</v>
      </c>
      <c r="U329" s="27" t="s">
        <v>1750</v>
      </c>
      <c r="V329" s="27" t="b">
        <f>ISNUMBER(SEARCH(",",F329))</f>
        <v>0</v>
      </c>
    </row>
    <row r="330" spans="1:22" ht="45" x14ac:dyDescent="0.25">
      <c r="A330" s="27" t="str">
        <f>IF(ISBLANK(N330)=TRUE,"Pending","Done")</f>
        <v>Pending</v>
      </c>
      <c r="B330" s="27" t="s">
        <v>1455</v>
      </c>
      <c r="C330" s="27">
        <v>48</v>
      </c>
      <c r="D330" s="27" t="str">
        <f>SUBSTITUTE(TRIM(RIGHT(SUBSTITUTE(IF(RIGHT(B330,1)="/",LEFT(B330,LEN(B330)-1),B330),"/",REPT(" ",LEN(B330))),LEN(B330))),"-"," ")</f>
        <v>cheyenne jewel punished with unwilling orgasms and mean metal bondage</v>
      </c>
      <c r="E330" s="27" t="s">
        <v>853</v>
      </c>
      <c r="F330" s="27" t="s">
        <v>1456</v>
      </c>
      <c r="G330" s="27" t="s">
        <v>70</v>
      </c>
      <c r="H330" s="27" t="s">
        <v>2706</v>
      </c>
      <c r="I330" s="27" t="s">
        <v>2705</v>
      </c>
      <c r="J330" s="27" t="s">
        <v>1750</v>
      </c>
      <c r="K330" s="27" t="s">
        <v>1750</v>
      </c>
      <c r="L330" s="27"/>
      <c r="M330" s="27"/>
      <c r="N330" s="27"/>
      <c r="O330" s="27"/>
      <c r="P330" s="27" t="s">
        <v>1457</v>
      </c>
      <c r="Q330" s="27" t="str" cm="1">
        <f t="array" ref="Q330">_xlfn.REGEXEXTRACT(B330,"(?&lt;=//)[^/]+")</f>
        <v>bdsmstreak.com</v>
      </c>
      <c r="R330" s="27" t="s">
        <v>685</v>
      </c>
      <c r="S330" s="27" t="s">
        <v>1750</v>
      </c>
      <c r="T330" s="27" t="str" cm="1">
        <f t="array" ref="T330">IF(S330&lt;&gt;"NotApplicable",_xlfn.REGEXEXTRACT(S330,"\d+(?=p)"),"NotApplicable")</f>
        <v>NotApplicable</v>
      </c>
      <c r="U330" s="27" t="s">
        <v>1750</v>
      </c>
      <c r="V330" s="27" t="b">
        <f>ISNUMBER(SEARCH(",",F330))</f>
        <v>0</v>
      </c>
    </row>
    <row r="331" spans="1:22" ht="30" x14ac:dyDescent="0.25">
      <c r="A331" s="27" t="str">
        <f>IF(ISBLANK(N331)=TRUE,"Pending","Done")</f>
        <v>Pending</v>
      </c>
      <c r="B331" s="27" t="s">
        <v>1990</v>
      </c>
      <c r="C331" s="27">
        <v>48</v>
      </c>
      <c r="D331" s="27" t="str">
        <f>SUBSTITUTE(TRIM(RIGHT(SUBSTITUTE(IF(RIGHT(B331,1)="/",LEFT(B331,LEN(B331)-1),B331),"/",REPT(" ",LEN(B331))),LEN(B331))),"-"," ")</f>
        <v>presenting chloe s cunt folded opened and exposed2</v>
      </c>
      <c r="E331" s="27" t="s">
        <v>853</v>
      </c>
      <c r="F331" s="27" t="s">
        <v>1991</v>
      </c>
      <c r="G331" s="27" t="s">
        <v>70</v>
      </c>
      <c r="H331" s="27" t="s">
        <v>2707</v>
      </c>
      <c r="I331" s="27" t="s">
        <v>2707</v>
      </c>
      <c r="J331" s="27">
        <v>2</v>
      </c>
      <c r="K331" s="27" t="s">
        <v>1992</v>
      </c>
      <c r="L331" s="27" t="s">
        <v>1677</v>
      </c>
      <c r="M331" s="27"/>
      <c r="N331" s="27"/>
      <c r="O331" s="27"/>
      <c r="P331" s="27"/>
      <c r="Q331" s="27" t="str" cm="1">
        <f t="array" ref="Q331">_xlfn.REGEXEXTRACT(B331,"(?&lt;=//)[^/]+")</f>
        <v>hcbdsm.com</v>
      </c>
      <c r="R331" s="27" t="s">
        <v>685</v>
      </c>
      <c r="S331" s="27" t="s">
        <v>1750</v>
      </c>
      <c r="T331" s="27" t="str" cm="1">
        <f t="array" ref="T331">IF(S331&lt;&gt;"NotApplicable",_xlfn.REGEXEXTRACT(S331,"\d+(?=p)"),"NotApplicable")</f>
        <v>NotApplicable</v>
      </c>
      <c r="U331" s="27" t="s">
        <v>1750</v>
      </c>
      <c r="V331" s="27" t="b">
        <f>ISNUMBER(SEARCH(",",F331))</f>
        <v>1</v>
      </c>
    </row>
    <row r="332" spans="1:22" ht="30" x14ac:dyDescent="0.25">
      <c r="A332" s="27" t="str">
        <f>IF(ISBLANK(N332)=TRUE,"Pending","Done")</f>
        <v>Pending</v>
      </c>
      <c r="B332" s="27" t="s">
        <v>2075</v>
      </c>
      <c r="C332" s="27">
        <v>48</v>
      </c>
      <c r="D332" s="27" t="str">
        <f>SUBSTITUTE(TRIM(RIGHT(SUBSTITUTE(IF(RIGHT(B332,1)="/",LEFT(B332,LEN(B332)-1),B332),"/",REPT(" ",LEN(B332))),LEN(B332))),"-"," ")</f>
        <v>the new bitch</v>
      </c>
      <c r="E332" s="27" t="s">
        <v>853</v>
      </c>
      <c r="F332" s="27" t="s">
        <v>835</v>
      </c>
      <c r="G332" s="27" t="s">
        <v>70</v>
      </c>
      <c r="H332" s="27" t="s">
        <v>2708</v>
      </c>
      <c r="I332" s="27" t="s">
        <v>2556</v>
      </c>
      <c r="J332" s="27">
        <v>2</v>
      </c>
      <c r="K332" s="27" t="s">
        <v>1606</v>
      </c>
      <c r="L332" s="27"/>
      <c r="M332" s="27"/>
      <c r="N332" s="27"/>
      <c r="O332" s="27"/>
      <c r="P332" s="27"/>
      <c r="Q332" s="27" t="str" cm="1">
        <f t="array" ref="Q332">_xlfn.REGEXEXTRACT(B332,"(?&lt;=//)[^/]+")</f>
        <v>bdsmstreak.com</v>
      </c>
      <c r="R332" s="27" t="s">
        <v>685</v>
      </c>
      <c r="S332" s="27" t="s">
        <v>1750</v>
      </c>
      <c r="T332" s="27" t="str" cm="1">
        <f t="array" ref="T332">IF(S332&lt;&gt;"NotApplicable",_xlfn.REGEXEXTRACT(S332,"\d+(?=p)"),"NotApplicable")</f>
        <v>NotApplicable</v>
      </c>
      <c r="U332" s="27" t="s">
        <v>1750</v>
      </c>
      <c r="V332" s="27" t="b">
        <f>ISNUMBER(SEARCH(",",F332))</f>
        <v>0</v>
      </c>
    </row>
    <row r="333" spans="1:22" ht="30" x14ac:dyDescent="0.25">
      <c r="A333" s="27" t="str">
        <f>IF(ISBLANK(N333)=TRUE,"Pending","Done")</f>
        <v>Pending</v>
      </c>
      <c r="B333" s="27" t="s">
        <v>2026</v>
      </c>
      <c r="C333" s="27">
        <v>48</v>
      </c>
      <c r="D333" s="27" t="str">
        <f>SUBSTITUTE(TRIM(RIGHT(SUBSTITUTE(IF(RIGHT(B333,1)="/",LEFT(B333,LEN(B333)-1),B333),"/",REPT(" ",LEN(B333))),LEN(B333))),"-"," ")</f>
        <v>sexy bad girl tamed by chain</v>
      </c>
      <c r="E333" s="27" t="s">
        <v>853</v>
      </c>
      <c r="F333" s="27" t="s">
        <v>2027</v>
      </c>
      <c r="G333" s="27" t="s">
        <v>70</v>
      </c>
      <c r="H333" s="27" t="s">
        <v>2709</v>
      </c>
      <c r="I333" s="27" t="s">
        <v>2709</v>
      </c>
      <c r="J333" s="27">
        <v>0</v>
      </c>
      <c r="K333" s="27" t="s">
        <v>1141</v>
      </c>
      <c r="L333" s="27"/>
      <c r="M333" s="27"/>
      <c r="N333" s="27"/>
      <c r="O333" s="27"/>
      <c r="P333" s="27"/>
      <c r="Q333" s="27" t="str" cm="1">
        <f t="array" ref="Q333">_xlfn.REGEXEXTRACT(B333,"(?&lt;=//)[^/]+")</f>
        <v>bdsmstreak.com</v>
      </c>
      <c r="R333" s="27" t="s">
        <v>685</v>
      </c>
      <c r="S333" s="27" t="s">
        <v>1750</v>
      </c>
      <c r="T333" s="27" t="str" cm="1">
        <f t="array" ref="T333">IF(S333&lt;&gt;"NotApplicable",_xlfn.REGEXEXTRACT(S333,"\d+(?=p)"),"NotApplicable")</f>
        <v>NotApplicable</v>
      </c>
      <c r="U333" s="27" t="s">
        <v>1750</v>
      </c>
      <c r="V333" s="27" t="b">
        <f>ISNUMBER(SEARCH(",",F333))</f>
        <v>0</v>
      </c>
    </row>
    <row r="334" spans="1:22" ht="30" x14ac:dyDescent="0.25">
      <c r="A334" s="27" t="str">
        <f>IF(ISBLANK(N334)=TRUE,"Pending","Done")</f>
        <v>Pending</v>
      </c>
      <c r="B334" s="27" t="s">
        <v>2710</v>
      </c>
      <c r="C334" s="27">
        <v>49</v>
      </c>
      <c r="D334" s="27" t="str">
        <f>SUBSTITUTE(TRIM(RIGHT(SUBSTITUTE(IF(RIGHT(B334,1)="/",LEFT(B334,LEN(B334)-1),B334),"/",REPT(" ",LEN(B334))),LEN(B334))),"-"," ")</f>
        <v>angela white begs to suffer for her master in metal bondage</v>
      </c>
      <c r="E334" s="27" t="s">
        <v>853</v>
      </c>
      <c r="F334" s="27" t="s">
        <v>1584</v>
      </c>
      <c r="G334" s="27" t="s">
        <v>70</v>
      </c>
      <c r="H334" s="27" t="s">
        <v>2712</v>
      </c>
      <c r="I334" s="27" t="s">
        <v>2711</v>
      </c>
      <c r="J334" s="27" t="s">
        <v>1750</v>
      </c>
      <c r="K334" s="27" t="s">
        <v>1750</v>
      </c>
      <c r="L334" s="27"/>
      <c r="M334" s="27"/>
      <c r="N334" s="27"/>
      <c r="O334" s="27"/>
      <c r="P334" s="27"/>
      <c r="Q334" s="27" t="str" cm="1">
        <f t="array" ref="Q334">_xlfn.REGEXEXTRACT(B334,"(?&lt;=//)[^/]+")</f>
        <v>bdsmstreak.com</v>
      </c>
      <c r="R334" s="27" t="s">
        <v>685</v>
      </c>
      <c r="S334" s="27" t="s">
        <v>1750</v>
      </c>
      <c r="T334" s="27" t="str" cm="1">
        <f t="array" ref="T334">IF(S334&lt;&gt;"NotApplicable",_xlfn.REGEXEXTRACT(S334,"\d+(?=p)"),"NotApplicable")</f>
        <v>NotApplicable</v>
      </c>
      <c r="U334" s="27" t="s">
        <v>1750</v>
      </c>
      <c r="V334" s="27" t="b">
        <f>ISNUMBER(SEARCH(",",F334))</f>
        <v>0</v>
      </c>
    </row>
    <row r="335" spans="1:22" ht="30" x14ac:dyDescent="0.25">
      <c r="A335" s="27" t="str">
        <f>IF(ISBLANK(N335)=TRUE,"Pending","Done")</f>
        <v>Pending</v>
      </c>
      <c r="B335" s="27" t="s">
        <v>1555</v>
      </c>
      <c r="C335" s="27">
        <v>49</v>
      </c>
      <c r="D335" s="27" t="str">
        <f>SUBSTITUTE(TRIM(RIGHT(SUBSTITUTE(IF(RIGHT(B335,1)="/",LEFT(B335,LEN(B335)-1),B335),"/",REPT(" ",LEN(B335))),LEN(B335))),"-"," ")</f>
        <v>ariel x body builder double penetrated in diabolical devices2</v>
      </c>
      <c r="E335" s="27" t="s">
        <v>853</v>
      </c>
      <c r="F335" s="27" t="s">
        <v>1577</v>
      </c>
      <c r="G335" s="27" t="s">
        <v>70</v>
      </c>
      <c r="H335" s="27" t="s">
        <v>2713</v>
      </c>
      <c r="I335" s="27" t="s">
        <v>2713</v>
      </c>
      <c r="J335" s="27" t="s">
        <v>1750</v>
      </c>
      <c r="K335" s="27" t="s">
        <v>1750</v>
      </c>
      <c r="L335" s="27"/>
      <c r="M335" s="27"/>
      <c r="N335" s="27"/>
      <c r="O335" s="27"/>
      <c r="P335" s="27"/>
      <c r="Q335" s="27" t="str" cm="1">
        <f t="array" ref="Q335">_xlfn.REGEXEXTRACT(B335,"(?&lt;=//)[^/]+")</f>
        <v>hcbdsm.com</v>
      </c>
      <c r="R335" s="27" t="s">
        <v>685</v>
      </c>
      <c r="S335" s="27" t="s">
        <v>1750</v>
      </c>
      <c r="T335" s="27" t="str" cm="1">
        <f t="array" ref="T335">IF(S335&lt;&gt;"NotApplicable",_xlfn.REGEXEXTRACT(S335,"\d+(?=p)"),"NotApplicable")</f>
        <v>NotApplicable</v>
      </c>
      <c r="U335" s="27" t="s">
        <v>1750</v>
      </c>
      <c r="V335" s="27" t="b">
        <f>ISNUMBER(SEARCH(",",F335))</f>
        <v>0</v>
      </c>
    </row>
    <row r="336" spans="1:22" ht="60" x14ac:dyDescent="0.25">
      <c r="A336" s="27" t="str">
        <f>IF(ISBLANK(N336)=TRUE,"Pending","Done")</f>
        <v>Pending</v>
      </c>
      <c r="B336" s="27" t="s">
        <v>2030</v>
      </c>
      <c r="C336" s="27">
        <v>49</v>
      </c>
      <c r="D336" s="27" t="str">
        <f>SUBSTITUTE(TRIM(RIGHT(SUBSTITUTE(IF(RIGHT(B336,1)="/",LEFT(B336,LEN(B336)-1),B336),"/",REPT(" ",LEN(B336))),LEN(B336))),"-"," ")</f>
        <v>sheena shaw rough rider</v>
      </c>
      <c r="E336" s="27" t="s">
        <v>853</v>
      </c>
      <c r="F336" s="27" t="s">
        <v>1640</v>
      </c>
      <c r="G336" s="27" t="s">
        <v>70</v>
      </c>
      <c r="H336" s="27" t="s">
        <v>2714</v>
      </c>
      <c r="I336" s="27" t="s">
        <v>2714</v>
      </c>
      <c r="J336" s="27">
        <v>8</v>
      </c>
      <c r="K336" s="27" t="s">
        <v>2031</v>
      </c>
      <c r="L336" s="27"/>
      <c r="M336" s="27"/>
      <c r="N336" s="27"/>
      <c r="O336" s="27"/>
      <c r="P336" s="27"/>
      <c r="Q336" s="27" t="str" cm="1">
        <f t="array" ref="Q336">_xlfn.REGEXEXTRACT(B336,"(?&lt;=//)[^/]+")</f>
        <v>bdsmstreak.com</v>
      </c>
      <c r="R336" s="27" t="s">
        <v>685</v>
      </c>
      <c r="S336" s="27" t="s">
        <v>1750</v>
      </c>
      <c r="T336" s="27" t="str" cm="1">
        <f t="array" ref="T336">IF(S336&lt;&gt;"NotApplicable",_xlfn.REGEXEXTRACT(S336,"\d+(?=p)"),"NotApplicable")</f>
        <v>NotApplicable</v>
      </c>
      <c r="U336" s="27" t="s">
        <v>1750</v>
      </c>
      <c r="V336" s="27" t="b">
        <f>ISNUMBER(SEARCH(",",F336))</f>
        <v>0</v>
      </c>
    </row>
    <row r="337" spans="1:22" ht="30" x14ac:dyDescent="0.25">
      <c r="A337" s="27" t="str">
        <f>IF(ISBLANK(N337)=TRUE,"Pending","Done")</f>
        <v>Pending</v>
      </c>
      <c r="B337" s="27" t="s">
        <v>1557</v>
      </c>
      <c r="C337" s="27">
        <v>50</v>
      </c>
      <c r="D337" s="27" t="str">
        <f>SUBSTITUTE(TRIM(RIGHT(SUBSTITUTE(IF(RIGHT(B337,1)="/",LEFT(B337,LEN(B337)-1),B337),"/",REPT(" ",LEN(B337))),LEN(B337))),"-"," ")</f>
        <v>athletic milf fuck toy cherie deville punished in bondage and sybian</v>
      </c>
      <c r="E337" s="27" t="s">
        <v>853</v>
      </c>
      <c r="F337" s="27" t="s">
        <v>185</v>
      </c>
      <c r="G337" s="27" t="s">
        <v>70</v>
      </c>
      <c r="H337" s="27" t="s">
        <v>2715</v>
      </c>
      <c r="I337" s="27" t="s">
        <v>2715</v>
      </c>
      <c r="J337" s="27" t="s">
        <v>1750</v>
      </c>
      <c r="K337" s="27" t="s">
        <v>1750</v>
      </c>
      <c r="L337" s="27"/>
      <c r="M337" s="27"/>
      <c r="N337" s="27"/>
      <c r="O337" s="27"/>
      <c r="P337" s="27"/>
      <c r="Q337" s="27" t="str" cm="1">
        <f t="array" ref="Q337">_xlfn.REGEXEXTRACT(B337,"(?&lt;=//)[^/]+")</f>
        <v>bdsmstreak.com</v>
      </c>
      <c r="R337" s="27" t="s">
        <v>685</v>
      </c>
      <c r="S337" s="27" t="s">
        <v>1750</v>
      </c>
      <c r="T337" s="27" t="str" cm="1">
        <f t="array" ref="T337">IF(S337&lt;&gt;"NotApplicable",_xlfn.REGEXEXTRACT(S337,"\d+(?=p)"),"NotApplicable")</f>
        <v>NotApplicable</v>
      </c>
      <c r="U337" s="27" t="s">
        <v>1750</v>
      </c>
      <c r="V337" s="27" t="b">
        <f>ISNUMBER(SEARCH(",",F337))</f>
        <v>0</v>
      </c>
    </row>
    <row r="338" spans="1:22" ht="30" x14ac:dyDescent="0.25">
      <c r="A338" s="27" t="str">
        <f>IF(ISBLANK(N338)=TRUE,"Pending","Done")</f>
        <v>Pending</v>
      </c>
      <c r="B338" s="27" t="s">
        <v>2716</v>
      </c>
      <c r="C338" s="27">
        <v>50</v>
      </c>
      <c r="D338" s="27" t="str">
        <f>SUBSTITUTE(TRIM(RIGHT(SUBSTITUTE(IF(RIGHT(B338,1)="/",LEFT(B338,LEN(B338)-1),B338),"/",REPT(" ",LEN(B338))),LEN(B338))),"-"," ")</f>
        <v>rain degrey gets destroyed with extreme torment and brutal orgasms</v>
      </c>
      <c r="E338" s="27" t="s">
        <v>853</v>
      </c>
      <c r="F338" s="27" t="s">
        <v>1855</v>
      </c>
      <c r="G338" s="27" t="s">
        <v>70</v>
      </c>
      <c r="H338" s="27" t="s">
        <v>2717</v>
      </c>
      <c r="I338" s="27" t="s">
        <v>2718</v>
      </c>
      <c r="J338" s="27">
        <v>6</v>
      </c>
      <c r="K338" s="27" t="s">
        <v>1856</v>
      </c>
      <c r="L338" s="27"/>
      <c r="M338" s="27"/>
      <c r="N338" s="27"/>
      <c r="O338" s="27"/>
      <c r="P338" s="27"/>
      <c r="Q338" s="27" t="str" cm="1">
        <f t="array" ref="Q338">_xlfn.REGEXEXTRACT(B338,"(?&lt;=//)[^/]+")</f>
        <v>bdsmstreak.com</v>
      </c>
      <c r="R338" s="27" t="s">
        <v>685</v>
      </c>
      <c r="S338" s="27" t="s">
        <v>1750</v>
      </c>
      <c r="T338" s="27" t="str" cm="1">
        <f t="array" ref="T338">IF(S338&lt;&gt;"NotApplicable",_xlfn.REGEXEXTRACT(S338,"\d+(?=p)"),"NotApplicable")</f>
        <v>NotApplicable</v>
      </c>
      <c r="U338" s="27" t="s">
        <v>1750</v>
      </c>
      <c r="V338" s="27" t="b">
        <f>ISNUMBER(SEARCH(",",F338))</f>
        <v>0</v>
      </c>
    </row>
    <row r="339" spans="1:22" ht="30" x14ac:dyDescent="0.25">
      <c r="A339" s="27" t="str">
        <f>IF(ISBLANK(N339)=TRUE,"Pending","Done")</f>
        <v>Pending</v>
      </c>
      <c r="B339" s="27" t="s">
        <v>1889</v>
      </c>
      <c r="C339" s="27">
        <v>50</v>
      </c>
      <c r="D339" s="27" t="str">
        <f>SUBSTITUTE(TRIM(RIGHT(SUBSTITUTE(IF(RIGHT(B339,1)="/",LEFT(B339,LEN(B339)-1),B339),"/",REPT(" ",LEN(B339))),LEN(B339))),"-"," ")</f>
        <v>keira croft pain slut gets destroyed squirts everywhere2</v>
      </c>
      <c r="E339" s="27" t="s">
        <v>853</v>
      </c>
      <c r="F339" s="27" t="s">
        <v>242</v>
      </c>
      <c r="G339" s="27" t="s">
        <v>70</v>
      </c>
      <c r="H339" s="27" t="s">
        <v>2719</v>
      </c>
      <c r="I339" s="27" t="s">
        <v>2719</v>
      </c>
      <c r="J339" s="27">
        <v>2</v>
      </c>
      <c r="K339" s="27" t="s">
        <v>1604</v>
      </c>
      <c r="L339" s="27"/>
      <c r="M339" s="27"/>
      <c r="N339" s="27"/>
      <c r="O339" s="27"/>
      <c r="P339" s="27"/>
      <c r="Q339" s="27" t="str" cm="1">
        <f t="array" ref="Q339">_xlfn.REGEXEXTRACT(B339,"(?&lt;=//)[^/]+")</f>
        <v>hcbdsm.com</v>
      </c>
      <c r="R339" s="27" t="s">
        <v>685</v>
      </c>
      <c r="S339" s="27" t="s">
        <v>1750</v>
      </c>
      <c r="T339" s="27" t="str" cm="1">
        <f t="array" ref="T339">IF(S339&lt;&gt;"NotApplicable",_xlfn.REGEXEXTRACT(S339,"\d+(?=p)"),"NotApplicable")</f>
        <v>NotApplicable</v>
      </c>
      <c r="U339" s="27" t="s">
        <v>1750</v>
      </c>
      <c r="V339" s="27" t="b">
        <f>ISNUMBER(SEARCH(",",F339))</f>
        <v>0</v>
      </c>
    </row>
    <row r="340" spans="1:22" ht="30" x14ac:dyDescent="0.25">
      <c r="A340" s="27" t="str">
        <f>IF(ISBLANK(N340)=TRUE,"Pending","Done")</f>
        <v>Pending</v>
      </c>
      <c r="B340" s="27" t="s">
        <v>1881</v>
      </c>
      <c r="C340" s="27">
        <v>51</v>
      </c>
      <c r="D340" s="27" t="str">
        <f>SUBSTITUTE(TRIM(RIGHT(SUBSTITUTE(IF(RIGHT(B340,1)="/",LEFT(B340,LEN(B340)-1),B340),"/",REPT(" ",LEN(B340))),LEN(B340))),"-"," ")</f>
        <v>juliette march perfect pain slut pushed to the extreme4</v>
      </c>
      <c r="E340" s="27" t="s">
        <v>853</v>
      </c>
      <c r="F340" s="27" t="s">
        <v>1882</v>
      </c>
      <c r="G340" s="27" t="s">
        <v>70</v>
      </c>
      <c r="H340" s="27" t="s">
        <v>2720</v>
      </c>
      <c r="I340" s="27" t="s">
        <v>2720</v>
      </c>
      <c r="J340" s="27">
        <v>6</v>
      </c>
      <c r="K340" s="27" t="s">
        <v>1883</v>
      </c>
      <c r="L340" s="27"/>
      <c r="M340" s="27"/>
      <c r="N340" s="27"/>
      <c r="O340" s="27"/>
      <c r="P340" s="27"/>
      <c r="Q340" s="27" t="str" cm="1">
        <f t="array" ref="Q340">_xlfn.REGEXEXTRACT(B340,"(?&lt;=//)[^/]+")</f>
        <v>hcbdsm.com</v>
      </c>
      <c r="R340" s="27" t="s">
        <v>685</v>
      </c>
      <c r="S340" s="27" t="s">
        <v>1750</v>
      </c>
      <c r="T340" s="27" t="str" cm="1">
        <f t="array" ref="T340">IF(S340&lt;&gt;"NotApplicable",_xlfn.REGEXEXTRACT(S340,"\d+(?=p)"),"NotApplicable")</f>
        <v>NotApplicable</v>
      </c>
      <c r="U340" s="27" t="s">
        <v>1750</v>
      </c>
      <c r="V340" s="27" t="b">
        <f>ISNUMBER(SEARCH(",",F340))</f>
        <v>0</v>
      </c>
    </row>
    <row r="341" spans="1:22" ht="30" x14ac:dyDescent="0.25">
      <c r="A341" s="27" t="str">
        <f>IF(ISBLANK(N341)=TRUE,"Pending","Done")</f>
        <v>Pending</v>
      </c>
      <c r="B341" s="27" t="s">
        <v>1781</v>
      </c>
      <c r="C341" s="27">
        <v>52</v>
      </c>
      <c r="D341" s="27" t="str">
        <f>SUBSTITUTE(TRIM(RIGHT(SUBSTITUTE(IF(RIGHT(B341,1)="/",LEFT(B341,LEN(B341)-1),B341),"/",REPT(" ",LEN(B341))),LEN(B341))),"-"," ")</f>
        <v>claires day off</v>
      </c>
      <c r="E341" s="27" t="s">
        <v>853</v>
      </c>
      <c r="F341" s="27" t="s">
        <v>1782</v>
      </c>
      <c r="G341" s="27" t="s">
        <v>70</v>
      </c>
      <c r="H341" s="27" t="s">
        <v>2721</v>
      </c>
      <c r="I341" s="27" t="s">
        <v>2721</v>
      </c>
      <c r="J341" s="27">
        <v>4</v>
      </c>
      <c r="K341" s="27" t="s">
        <v>1783</v>
      </c>
      <c r="L341" s="27"/>
      <c r="M341" s="27"/>
      <c r="N341" s="27"/>
      <c r="O341" s="27"/>
      <c r="P341" s="27"/>
      <c r="Q341" s="27" t="str" cm="1">
        <f t="array" ref="Q341">_xlfn.REGEXEXTRACT(B341,"(?&lt;=//)[^/]+")</f>
        <v>bdsmstreak.com</v>
      </c>
      <c r="R341" s="27" t="s">
        <v>685</v>
      </c>
      <c r="S341" s="27" t="s">
        <v>1750</v>
      </c>
      <c r="T341" s="27" t="str" cm="1">
        <f t="array" ref="T341">IF(S341&lt;&gt;"NotApplicable",_xlfn.REGEXEXTRACT(S341,"\d+(?=p)"),"NotApplicable")</f>
        <v>NotApplicable</v>
      </c>
      <c r="U341" s="27" t="s">
        <v>1750</v>
      </c>
      <c r="V341" s="27" t="b">
        <f>ISNUMBER(SEARCH(",",F341))</f>
        <v>0</v>
      </c>
    </row>
    <row r="342" spans="1:22" ht="30" x14ac:dyDescent="0.25">
      <c r="A342" s="27" t="str">
        <f>IF(ISBLANK(N342)=TRUE,"Pending","Done")</f>
        <v>Pending</v>
      </c>
      <c r="B342" s="27" t="s">
        <v>1535</v>
      </c>
      <c r="C342" s="27">
        <v>53</v>
      </c>
      <c r="D342" s="27" t="str">
        <f>SUBSTITUTE(TRIM(RIGHT(SUBSTITUTE(IF(RIGHT(B342,1)="/",LEFT(B342,LEN(B342)-1),B342),"/",REPT(" ",LEN(B342))),LEN(B342))),"-"," ")</f>
        <v>19 year old is devastated in brutal bondage</v>
      </c>
      <c r="E342" s="27" t="s">
        <v>853</v>
      </c>
      <c r="F342" s="27" t="s">
        <v>1536</v>
      </c>
      <c r="G342" s="27" t="s">
        <v>70</v>
      </c>
      <c r="H342" s="27" t="s">
        <v>2723</v>
      </c>
      <c r="I342" s="27" t="s">
        <v>2722</v>
      </c>
      <c r="J342" s="27">
        <v>5</v>
      </c>
      <c r="K342" s="27" t="s">
        <v>2724</v>
      </c>
      <c r="L342" s="27"/>
      <c r="M342" s="27"/>
      <c r="N342" s="27"/>
      <c r="O342" s="27"/>
      <c r="P342" s="27"/>
      <c r="Q342" s="27" t="str" cm="1">
        <f t="array" ref="Q342">_xlfn.REGEXEXTRACT(B342,"(?&lt;=//)[^/]+")</f>
        <v>bdsmstreak.com</v>
      </c>
      <c r="R342" s="27" t="s">
        <v>685</v>
      </c>
      <c r="S342" s="27" t="s">
        <v>1750</v>
      </c>
      <c r="T342" s="27" t="str" cm="1">
        <f t="array" ref="T342">IF(S342&lt;&gt;"NotApplicable",_xlfn.REGEXEXTRACT(S342,"\d+(?=p)"),"NotApplicable")</f>
        <v>NotApplicable</v>
      </c>
      <c r="U342" s="27" t="s">
        <v>1750</v>
      </c>
      <c r="V342" s="27" t="b">
        <f>ISNUMBER(SEARCH(",",F342))</f>
        <v>0</v>
      </c>
    </row>
    <row r="343" spans="1:22" ht="45" x14ac:dyDescent="0.25">
      <c r="A343" s="27" t="str">
        <f>IF(ISBLANK(N343)=TRUE,"Pending","Done")</f>
        <v>Pending</v>
      </c>
      <c r="B343" s="27" t="s">
        <v>1911</v>
      </c>
      <c r="C343" s="27">
        <v>53</v>
      </c>
      <c r="D343" s="27" t="str">
        <f>SUBSTITUTE(TRIM(RIGHT(SUBSTITUTE(IF(RIGHT(B343,1)="/",LEFT(B343,LEN(B343)-1),B343),"/",REPT(" ",LEN(B343))),LEN(B343))),"-"," ")</f>
        <v>lyla storm vs jack hammer</v>
      </c>
      <c r="E343" s="27" t="s">
        <v>853</v>
      </c>
      <c r="F343" s="27" t="s">
        <v>1615</v>
      </c>
      <c r="G343" s="27" t="s">
        <v>70</v>
      </c>
      <c r="H343" s="27" t="s">
        <v>2725</v>
      </c>
      <c r="I343" s="27" t="s">
        <v>2725</v>
      </c>
      <c r="J343" s="27">
        <v>9</v>
      </c>
      <c r="K343" s="27" t="s">
        <v>1912</v>
      </c>
      <c r="L343" s="27"/>
      <c r="M343" s="27"/>
      <c r="N343" s="27"/>
      <c r="O343" s="27"/>
      <c r="P343" s="27"/>
      <c r="Q343" s="27" t="str" cm="1">
        <f t="array" ref="Q343">_xlfn.REGEXEXTRACT(B343,"(?&lt;=//)[^/]+")</f>
        <v>bdsmstreak.com</v>
      </c>
      <c r="R343" s="27" t="s">
        <v>685</v>
      </c>
      <c r="S343" s="27" t="s">
        <v>1750</v>
      </c>
      <c r="T343" s="27" t="str" cm="1">
        <f t="array" ref="T343">IF(S343&lt;&gt;"NotApplicable",_xlfn.REGEXEXTRACT(S343,"\d+(?=p)"),"NotApplicable")</f>
        <v>NotApplicable</v>
      </c>
      <c r="U343" s="27" t="s">
        <v>1750</v>
      </c>
      <c r="V343" s="27" t="b">
        <f>ISNUMBER(SEARCH(",",F343))</f>
        <v>0</v>
      </c>
    </row>
    <row r="344" spans="1:22" ht="45" x14ac:dyDescent="0.25">
      <c r="A344" s="27" t="str">
        <f>IF(ISBLANK(N344)=TRUE,"Pending","Done")</f>
        <v>Pending</v>
      </c>
      <c r="B344" s="27" t="s">
        <v>1453</v>
      </c>
      <c r="C344" s="27">
        <v>54</v>
      </c>
      <c r="D344" s="27" t="str">
        <f>SUBSTITUTE(TRIM(RIGHT(SUBSTITUTE(IF(RIGHT(B344,1)="/",LEFT(B344,LEN(B344)-1),B344),"/",REPT(" ",LEN(B344))),LEN(B344))),"-"," ")</f>
        <v>kelly divine stretched fucked flogged and squirting everywhere rosebud exposed</v>
      </c>
      <c r="E344" s="27" t="s">
        <v>853</v>
      </c>
      <c r="F344" s="27" t="s">
        <v>1454</v>
      </c>
      <c r="G344" s="27" t="s">
        <v>70</v>
      </c>
      <c r="H344" s="27" t="s">
        <v>2727</v>
      </c>
      <c r="I344" s="27" t="s">
        <v>2726</v>
      </c>
      <c r="J344" s="27" t="s">
        <v>1750</v>
      </c>
      <c r="K344" s="27" t="s">
        <v>1750</v>
      </c>
      <c r="L344" s="27"/>
      <c r="M344" s="27"/>
      <c r="N344" s="27"/>
      <c r="O344" s="27"/>
      <c r="P344" s="27"/>
      <c r="Q344" s="27" t="str" cm="1">
        <f t="array" ref="Q344">_xlfn.REGEXEXTRACT(B344,"(?&lt;=//)[^/]+")</f>
        <v>bdsmstreak.com</v>
      </c>
      <c r="R344" s="27" t="s">
        <v>685</v>
      </c>
      <c r="S344" s="27" t="s">
        <v>1750</v>
      </c>
      <c r="T344" s="27" t="str" cm="1">
        <f t="array" ref="T344">IF(S344&lt;&gt;"NotApplicable",_xlfn.REGEXEXTRACT(S344,"\d+(?=p)"),"NotApplicable")</f>
        <v>NotApplicable</v>
      </c>
      <c r="U344" s="27" t="s">
        <v>1750</v>
      </c>
      <c r="V344" s="27" t="b">
        <f>ISNUMBER(SEARCH(",",F344))</f>
        <v>0</v>
      </c>
    </row>
    <row r="345" spans="1:22" ht="30" x14ac:dyDescent="0.25">
      <c r="A345" s="27" t="str">
        <f>IF(ISBLANK(N345)=TRUE,"Pending","Done")</f>
        <v>Pending</v>
      </c>
      <c r="B345" s="27" t="s">
        <v>2001</v>
      </c>
      <c r="C345" s="27">
        <v>54</v>
      </c>
      <c r="D345" s="27" t="str">
        <f>SUBSTITUTE(TRIM(RIGHT(SUBSTITUTE(IF(RIGHT(B345,1)="/",LEFT(B345,LEN(B345)-1),B345),"/",REPT(" ",LEN(B345))),LEN(B345))),"-"," ")</f>
        <v>pushing her buttons</v>
      </c>
      <c r="E345" s="27" t="s">
        <v>853</v>
      </c>
      <c r="F345" s="27" t="s">
        <v>2002</v>
      </c>
      <c r="G345" s="27" t="s">
        <v>70</v>
      </c>
      <c r="H345" s="27" t="s">
        <v>2728</v>
      </c>
      <c r="I345" s="27" t="s">
        <v>2728</v>
      </c>
      <c r="J345" s="27">
        <v>2</v>
      </c>
      <c r="K345" s="27" t="s">
        <v>2003</v>
      </c>
      <c r="L345" s="27"/>
      <c r="M345" s="27"/>
      <c r="N345" s="27"/>
      <c r="O345" s="27"/>
      <c r="P345" s="27"/>
      <c r="Q345" s="27" t="str" cm="1">
        <f t="array" ref="Q345">_xlfn.REGEXEXTRACT(B345,"(?&lt;=//)[^/]+")</f>
        <v>bdsmstreak.com</v>
      </c>
      <c r="R345" s="27" t="s">
        <v>685</v>
      </c>
      <c r="S345" s="27" t="s">
        <v>1750</v>
      </c>
      <c r="T345" s="27" t="str" cm="1">
        <f t="array" ref="T345">IF(S345&lt;&gt;"NotApplicable",_xlfn.REGEXEXTRACT(S345,"\d+(?=p)"),"NotApplicable")</f>
        <v>NotApplicable</v>
      </c>
      <c r="U345" s="27" t="s">
        <v>1750</v>
      </c>
      <c r="V345" s="27" t="b">
        <f>ISNUMBER(SEARCH(",",F345))</f>
        <v>0</v>
      </c>
    </row>
    <row r="346" spans="1:22" ht="45" x14ac:dyDescent="0.25">
      <c r="A346" s="27" t="str">
        <f>IF(ISBLANK(N346)=TRUE,"Pending","Done")</f>
        <v>Pending</v>
      </c>
      <c r="B346" s="27" t="s">
        <v>2007</v>
      </c>
      <c r="C346" s="27">
        <v>58</v>
      </c>
      <c r="D346" s="27" t="str">
        <f>SUBSTITUTE(TRIM(RIGHT(SUBSTITUTE(IF(RIGHT(B346,1)="/",LEFT(B346,LEN(B346)-1),B346),"/",REPT(" ",LEN(B346))),LEN(B346))),"-"," ")</f>
        <v>red hair fair skin finger fucked machine fucked extreme nipple play hot wax hard caning</v>
      </c>
      <c r="E346" s="27" t="s">
        <v>853</v>
      </c>
      <c r="F346" s="27" t="s">
        <v>1325</v>
      </c>
      <c r="G346" s="27" t="s">
        <v>70</v>
      </c>
      <c r="H346" s="27" t="s">
        <v>2730</v>
      </c>
      <c r="I346" s="27" t="s">
        <v>2729</v>
      </c>
      <c r="J346" s="27">
        <v>0</v>
      </c>
      <c r="K346" s="27" t="s">
        <v>1141</v>
      </c>
      <c r="L346" s="27"/>
      <c r="M346" s="27"/>
      <c r="N346" s="27"/>
      <c r="O346" s="27"/>
      <c r="P346" s="27"/>
      <c r="Q346" s="27" t="str" cm="1">
        <f t="array" ref="Q346">_xlfn.REGEXEXTRACT(B346,"(?&lt;=//)[^/]+")</f>
        <v>bdsmstreak.com</v>
      </c>
      <c r="R346" s="27" t="s">
        <v>685</v>
      </c>
      <c r="S346" s="27" t="s">
        <v>1750</v>
      </c>
      <c r="T346" s="27" t="str" cm="1">
        <f t="array" ref="T346">IF(S346&lt;&gt;"NotApplicable",_xlfn.REGEXEXTRACT(S346,"\d+(?=p)"),"NotApplicable")</f>
        <v>NotApplicable</v>
      </c>
      <c r="U346" s="27" t="s">
        <v>1750</v>
      </c>
      <c r="V346" s="27" t="b">
        <f>ISNUMBER(SEARCH(",",F346))</f>
        <v>0</v>
      </c>
    </row>
    <row r="347" spans="1:22" ht="30" x14ac:dyDescent="0.25">
      <c r="A347" s="27" t="str">
        <f>IF(ISBLANK(N347)=TRUE,"Pending","Done")</f>
        <v>Pending</v>
      </c>
      <c r="B347" s="27" t="s">
        <v>2108</v>
      </c>
      <c r="C347" s="27">
        <v>61</v>
      </c>
      <c r="D347" s="27" t="str">
        <f>SUBSTITUTE(TRIM(RIGHT(SUBSTITUTE(IF(RIGHT(B347,1)="/",LEFT(B347,LEN(B347)-1),B347),"/",REPT(" ",LEN(B347))),LEN(B347))),"-"," ")</f>
        <v>tough as nails cassandra nix</v>
      </c>
      <c r="E347" s="27" t="s">
        <v>853</v>
      </c>
      <c r="F347" s="27" t="s">
        <v>2109</v>
      </c>
      <c r="G347" s="27" t="s">
        <v>70</v>
      </c>
      <c r="H347" s="27" t="s">
        <v>2677</v>
      </c>
      <c r="I347" s="27" t="s">
        <v>2678</v>
      </c>
      <c r="J347" s="27">
        <v>2</v>
      </c>
      <c r="K347" s="27" t="s">
        <v>2110</v>
      </c>
      <c r="L347" s="27"/>
      <c r="M347" s="27"/>
      <c r="N347" s="27"/>
      <c r="O347" s="27"/>
      <c r="P347" s="27"/>
      <c r="Q347" s="27" t="str" cm="1">
        <f t="array" ref="Q347">_xlfn.REGEXEXTRACT(B347,"(?&lt;=//)[^/]+")</f>
        <v>bdsmstreak.com</v>
      </c>
      <c r="R347" s="27" t="s">
        <v>685</v>
      </c>
      <c r="S347" s="27" t="s">
        <v>1750</v>
      </c>
      <c r="T347" s="27" t="str" cm="1">
        <f t="array" ref="T347">IF(S347&lt;&gt;"NotApplicable",_xlfn.REGEXEXTRACT(S347,"\d+(?=p)"),"NotApplicable")</f>
        <v>NotApplicable</v>
      </c>
      <c r="U347" s="27" t="s">
        <v>1750</v>
      </c>
      <c r="V347" s="27" t="b">
        <f>ISNUMBER(SEARCH(",",F347))</f>
        <v>0</v>
      </c>
    </row>
    <row r="348" spans="1:22" ht="30" x14ac:dyDescent="0.25">
      <c r="A348" s="27" t="str">
        <f>IF(ISBLANK(N348)=TRUE,"Pending","Done")</f>
        <v>Pending</v>
      </c>
      <c r="B348" s="27" t="s">
        <v>2078</v>
      </c>
      <c r="C348" s="27">
        <v>62</v>
      </c>
      <c r="D348" s="27" t="str">
        <f>SUBSTITUTE(TRIM(RIGHT(SUBSTITUTE(IF(RIGHT(B348,1)="/",LEFT(B348,LEN(B348)-1),B348),"/",REPT(" ",LEN(B348))),LEN(B348))),"-"," ")</f>
        <v>the return of darling</v>
      </c>
      <c r="E348" s="27" t="s">
        <v>853</v>
      </c>
      <c r="F348" s="27" t="s">
        <v>1589</v>
      </c>
      <c r="G348" s="27" t="s">
        <v>70</v>
      </c>
      <c r="H348" s="27" t="s">
        <v>2731</v>
      </c>
      <c r="I348" s="27" t="s">
        <v>2731</v>
      </c>
      <c r="J348" s="27">
        <v>8</v>
      </c>
      <c r="K348" s="27" t="s">
        <v>2079</v>
      </c>
      <c r="L348" s="27"/>
      <c r="M348" s="27"/>
      <c r="N348" s="27"/>
      <c r="O348" s="27"/>
      <c r="P348" s="27"/>
      <c r="Q348" s="27" t="str" cm="1">
        <f t="array" ref="Q348">_xlfn.REGEXEXTRACT(B348,"(?&lt;=//)[^/]+")</f>
        <v>bdsmstreak.com</v>
      </c>
      <c r="R348" s="27" t="s">
        <v>685</v>
      </c>
      <c r="S348" s="27" t="s">
        <v>1750</v>
      </c>
      <c r="T348" s="27" t="str" cm="1">
        <f t="array" ref="T348">IF(S348&lt;&gt;"NotApplicable",_xlfn.REGEXEXTRACT(S348,"\d+(?=p)"),"NotApplicable")</f>
        <v>NotApplicable</v>
      </c>
      <c r="U348" s="27" t="s">
        <v>1750</v>
      </c>
      <c r="V348" s="27" t="b">
        <f>ISNUMBER(SEARCH(",",F348))</f>
        <v>0</v>
      </c>
    </row>
    <row r="349" spans="1:22" ht="30" x14ac:dyDescent="0.25">
      <c r="A349" s="27" t="str">
        <f>IF(ISBLANK(N349)=TRUE,"Pending","Done")</f>
        <v>Pending</v>
      </c>
      <c r="B349" s="27" t="s">
        <v>1810</v>
      </c>
      <c r="C349" s="27">
        <v>62</v>
      </c>
      <c r="D349" s="27" t="str">
        <f>SUBSTITUTE(TRIM(RIGHT(SUBSTITUTE(IF(RIGHT(B349,1)="/",LEFT(B349,LEN(B349)-1),B349),"/",REPT(" ",LEN(B349))),LEN(B349))),"-"," ")</f>
        <v>double teamed extreme bondage brutal suffering and squirting orgasms</v>
      </c>
      <c r="E349" s="27" t="s">
        <v>853</v>
      </c>
      <c r="F349" s="27" t="s">
        <v>1767</v>
      </c>
      <c r="G349" s="27" t="s">
        <v>70</v>
      </c>
      <c r="H349" s="27" t="s">
        <v>2733</v>
      </c>
      <c r="I349" s="27" t="s">
        <v>2732</v>
      </c>
      <c r="J349" s="27">
        <v>4</v>
      </c>
      <c r="K349" s="27" t="s">
        <v>1654</v>
      </c>
      <c r="L349" s="27"/>
      <c r="M349" s="27"/>
      <c r="N349" s="27"/>
      <c r="O349" s="27"/>
      <c r="P349" s="27"/>
      <c r="Q349" s="27" t="str" cm="1">
        <f t="array" ref="Q349">_xlfn.REGEXEXTRACT(B349,"(?&lt;=//)[^/]+")</f>
        <v>bdsmstreak.com</v>
      </c>
      <c r="R349" s="27" t="s">
        <v>685</v>
      </c>
      <c r="S349" s="27" t="s">
        <v>1750</v>
      </c>
      <c r="T349" s="27" t="str" cm="1">
        <f t="array" ref="T349">IF(S349&lt;&gt;"NotApplicable",_xlfn.REGEXEXTRACT(S349,"\d+(?=p)"),"NotApplicable")</f>
        <v>NotApplicable</v>
      </c>
      <c r="U349" s="27" t="s">
        <v>1750</v>
      </c>
      <c r="V349" s="27" t="b">
        <f>ISNUMBER(SEARCH(",",F349))</f>
        <v>0</v>
      </c>
    </row>
    <row r="350" spans="1:22" ht="30" x14ac:dyDescent="0.25">
      <c r="A350" s="27" t="str">
        <f>IF(ISBLANK(N350)=TRUE,"Pending","Done")</f>
        <v>Pending</v>
      </c>
      <c r="B350" s="27" t="s">
        <v>1989</v>
      </c>
      <c r="C350" s="27">
        <v>63</v>
      </c>
      <c r="D350" s="27" t="str">
        <f>SUBSTITUTE(TRIM(RIGHT(SUBSTITUTE(IF(RIGHT(B350,1)="/",LEFT(B350,LEN(B350)-1),B350),"/",REPT(" ",LEN(B350))),LEN(B350))),"-"," ")</f>
        <v>popping the cherry</v>
      </c>
      <c r="E350" s="27" t="s">
        <v>853</v>
      </c>
      <c r="F350" s="27" t="s">
        <v>204</v>
      </c>
      <c r="G350" s="27" t="s">
        <v>70</v>
      </c>
      <c r="H350" s="27" t="s">
        <v>2734</v>
      </c>
      <c r="I350" s="27" t="s">
        <v>2734</v>
      </c>
      <c r="J350" s="27">
        <v>2</v>
      </c>
      <c r="K350" s="27" t="s">
        <v>1765</v>
      </c>
      <c r="L350" s="27"/>
      <c r="M350" s="27"/>
      <c r="N350" s="27"/>
      <c r="O350" s="27"/>
      <c r="P350" s="27"/>
      <c r="Q350" s="27" t="str" cm="1">
        <f t="array" ref="Q350">_xlfn.REGEXEXTRACT(B350,"(?&lt;=//)[^/]+")</f>
        <v>bdsmstreak.com</v>
      </c>
      <c r="R350" s="27" t="s">
        <v>685</v>
      </c>
      <c r="S350" s="27" t="s">
        <v>1750</v>
      </c>
      <c r="T350" s="27" t="str" cm="1">
        <f t="array" ref="T350">IF(S350&lt;&gt;"NotApplicable",_xlfn.REGEXEXTRACT(S350,"\d+(?=p)"),"NotApplicable")</f>
        <v>NotApplicable</v>
      </c>
      <c r="U350" s="27" t="s">
        <v>1750</v>
      </c>
      <c r="V350" s="27" t="b">
        <f>ISNUMBER(SEARCH(",",F350))</f>
        <v>0</v>
      </c>
    </row>
    <row r="351" spans="1:22" ht="30" x14ac:dyDescent="0.25">
      <c r="A351" s="27" t="str">
        <f>IF(ISBLANK(N351)=TRUE,"Pending","Done")</f>
        <v>Pending</v>
      </c>
      <c r="B351" s="27" t="s">
        <v>1865</v>
      </c>
      <c r="C351" s="27">
        <v>63</v>
      </c>
      <c r="D351" s="27" t="str">
        <f>SUBSTITUTE(TRIM(RIGHT(SUBSTITUTE(IF(RIGHT(B351,1)="/",LEFT(B351,LEN(B351)-1),B351),"/",REPT(" ",LEN(B351))),LEN(B351))),"-"," ")</f>
        <v>helpless whore begs for more</v>
      </c>
      <c r="E351" s="27" t="s">
        <v>853</v>
      </c>
      <c r="F351" s="27" t="s">
        <v>1641</v>
      </c>
      <c r="G351" s="27" t="s">
        <v>70</v>
      </c>
      <c r="H351" s="27" t="s">
        <v>2736</v>
      </c>
      <c r="I351" s="27" t="s">
        <v>2736</v>
      </c>
      <c r="J351" s="27">
        <v>0</v>
      </c>
      <c r="K351" s="27" t="s">
        <v>1141</v>
      </c>
      <c r="L351" s="27"/>
      <c r="M351" s="27"/>
      <c r="N351" s="27"/>
      <c r="O351" s="27"/>
      <c r="P351" s="27"/>
      <c r="Q351" s="27" t="str" cm="1">
        <f t="array" ref="Q351">_xlfn.REGEXEXTRACT(B351,"(?&lt;=//)[^/]+")</f>
        <v>bdsmstreak.com</v>
      </c>
      <c r="R351" s="27" t="s">
        <v>685</v>
      </c>
      <c r="S351" s="27" t="s">
        <v>1750</v>
      </c>
      <c r="T351" s="27" t="str" cm="1">
        <f t="array" ref="T351">IF(S351&lt;&gt;"NotApplicable",_xlfn.REGEXEXTRACT(S351,"\d+(?=p)"),"NotApplicable")</f>
        <v>NotApplicable</v>
      </c>
      <c r="U351" s="27" t="s">
        <v>1750</v>
      </c>
      <c r="V351" s="27" t="b">
        <f>ISNUMBER(SEARCH(",",F351))</f>
        <v>0</v>
      </c>
    </row>
    <row r="352" spans="1:22" ht="30" x14ac:dyDescent="0.25">
      <c r="A352" s="27" t="str">
        <f>IF(ISBLANK(N352)=TRUE,"Pending","Done")</f>
        <v>Pending</v>
      </c>
      <c r="B352" s="27" t="s">
        <v>1626</v>
      </c>
      <c r="C352" s="27">
        <v>64</v>
      </c>
      <c r="D352" s="27" t="str">
        <f>SUBSTITUTE(TRIM(RIGHT(SUBSTITUTE(IF(RIGHT(B352,1)="/",LEFT(B352,LEN(B352)-1),B352),"/",REPT(" ",LEN(B352))),LEN(B352))),"-"," ")</f>
        <v>breaking the innocent</v>
      </c>
      <c r="E352" s="27" t="s">
        <v>853</v>
      </c>
      <c r="F352" s="27" t="s">
        <v>1641</v>
      </c>
      <c r="G352" s="27" t="s">
        <v>70</v>
      </c>
      <c r="H352" s="27" t="s">
        <v>2738</v>
      </c>
      <c r="I352" s="27" t="s">
        <v>2735</v>
      </c>
      <c r="J352" s="27" t="s">
        <v>1750</v>
      </c>
      <c r="K352" s="27" t="s">
        <v>1750</v>
      </c>
      <c r="L352" s="27"/>
      <c r="M352" s="27"/>
      <c r="N352" s="27"/>
      <c r="O352" s="27"/>
      <c r="P352" s="27"/>
      <c r="Q352" s="27" t="str" cm="1">
        <f t="array" ref="Q352">_xlfn.REGEXEXTRACT(B352,"(?&lt;=//)[^/]+")</f>
        <v>bdsmstreak.com</v>
      </c>
      <c r="R352" s="27" t="s">
        <v>685</v>
      </c>
      <c r="S352" s="27" t="s">
        <v>1750</v>
      </c>
      <c r="T352" s="27" t="str" cm="1">
        <f t="array" ref="T352">IF(S352&lt;&gt;"NotApplicable",_xlfn.REGEXEXTRACT(S352,"\d+(?=p)"),"NotApplicable")</f>
        <v>NotApplicable</v>
      </c>
      <c r="U352" s="27" t="s">
        <v>1750</v>
      </c>
      <c r="V352" s="27" t="b">
        <f>ISNUMBER(SEARCH(",",F352))</f>
        <v>0</v>
      </c>
    </row>
    <row r="353" spans="1:22" ht="30" x14ac:dyDescent="0.25">
      <c r="A353" s="27" t="str">
        <f>IF(ISBLANK(N353)=TRUE,"Pending","Done")</f>
        <v>Pending</v>
      </c>
      <c r="B353" s="27" t="s">
        <v>1827</v>
      </c>
      <c r="C353" s="27">
        <v>64</v>
      </c>
      <c r="D353" s="27" t="str">
        <f>SUBSTITUTE(TRIM(RIGHT(SUBSTITUTE(IF(RIGHT(B353,1)="/",LEFT(B353,LEN(B353)-1),B353),"/",REPT(" ",LEN(B353))),LEN(B353))),"-"," ")</f>
        <v>falling into ashes ash hollywood3</v>
      </c>
      <c r="E353" s="27" t="s">
        <v>853</v>
      </c>
      <c r="F353" s="27" t="s">
        <v>1785</v>
      </c>
      <c r="G353" s="27" t="s">
        <v>70</v>
      </c>
      <c r="H353" s="27" t="s">
        <v>2740</v>
      </c>
      <c r="I353" s="27" t="s">
        <v>2739</v>
      </c>
      <c r="J353" s="27">
        <v>5</v>
      </c>
      <c r="K353" s="27" t="s">
        <v>1828</v>
      </c>
      <c r="L353" s="27"/>
      <c r="M353" s="27"/>
      <c r="N353" s="27"/>
      <c r="O353" s="27"/>
      <c r="P353" s="27"/>
      <c r="Q353" s="27" t="str" cm="1">
        <f t="array" ref="Q353">_xlfn.REGEXEXTRACT(B353,"(?&lt;=//)[^/]+")</f>
        <v>hcbdsm.com</v>
      </c>
      <c r="R353" s="27" t="s">
        <v>685</v>
      </c>
      <c r="S353" s="27" t="s">
        <v>1750</v>
      </c>
      <c r="T353" s="27" t="str" cm="1">
        <f t="array" ref="T353">IF(S353&lt;&gt;"NotApplicable",_xlfn.REGEXEXTRACT(S353,"\d+(?=p)"),"NotApplicable")</f>
        <v>NotApplicable</v>
      </c>
      <c r="U353" s="27" t="s">
        <v>1750</v>
      </c>
      <c r="V353" s="27" t="b">
        <f>ISNUMBER(SEARCH(",",F353))</f>
        <v>0</v>
      </c>
    </row>
    <row r="354" spans="1:22" ht="30" x14ac:dyDescent="0.25">
      <c r="A354" s="27" t="str">
        <f>IF(ISBLANK(N354)=TRUE,"Pending","Done")</f>
        <v>Pending</v>
      </c>
      <c r="B354" s="27" t="s">
        <v>1870</v>
      </c>
      <c r="C354" s="27">
        <v>64</v>
      </c>
      <c r="D354" s="27" t="str">
        <f>SUBSTITUTE(TRIM(RIGHT(SUBSTITUTE(IF(RIGHT(B354,1)="/",LEFT(B354,LEN(B354)-1),B354),"/",REPT(" ",LEN(B354))),LEN(B354))),"-"," ")</f>
        <v>iona grace punished wanton slut</v>
      </c>
      <c r="E354" s="27" t="s">
        <v>853</v>
      </c>
      <c r="F354" s="27" t="s">
        <v>1838</v>
      </c>
      <c r="G354" s="27" t="s">
        <v>70</v>
      </c>
      <c r="H354" s="27" t="s">
        <v>2737</v>
      </c>
      <c r="I354" s="27" t="s">
        <v>2737</v>
      </c>
      <c r="J354" s="27">
        <v>6</v>
      </c>
      <c r="K354" s="27" t="s">
        <v>2741</v>
      </c>
      <c r="L354" s="27"/>
      <c r="M354" s="27"/>
      <c r="N354" s="27"/>
      <c r="O354" s="27"/>
      <c r="P354" s="27"/>
      <c r="Q354" s="27" t="str" cm="1">
        <f t="array" ref="Q354">_xlfn.REGEXEXTRACT(B354,"(?&lt;=//)[^/]+")</f>
        <v>bdsmstreak.com</v>
      </c>
      <c r="R354" s="27" t="s">
        <v>685</v>
      </c>
      <c r="S354" s="27" t="s">
        <v>1750</v>
      </c>
      <c r="T354" s="27" t="str" cm="1">
        <f t="array" ref="T354">IF(S354&lt;&gt;"NotApplicable",_xlfn.REGEXEXTRACT(S354,"\d+(?=p)"),"NotApplicable")</f>
        <v>NotApplicable</v>
      </c>
      <c r="U354" s="27" t="s">
        <v>1750</v>
      </c>
      <c r="V354" s="27" t="b">
        <f>ISNUMBER(SEARCH(",",F354))</f>
        <v>0</v>
      </c>
    </row>
    <row r="355" spans="1:22" ht="30" x14ac:dyDescent="0.25">
      <c r="A355" s="27" t="str">
        <f>IF(ISBLANK(N355)=TRUE,"Pending","Done")</f>
        <v>Pending</v>
      </c>
      <c r="B355" s="27" t="s">
        <v>1837</v>
      </c>
      <c r="C355" s="27">
        <v>65</v>
      </c>
      <c r="D355" s="27" t="str">
        <f>SUBSTITUTE(TRIM(RIGHT(SUBSTITUTE(IF(RIGHT(B355,1)="/",LEFT(B355,LEN(B355)-1),B355),"/",REPT(" ",LEN(B355))),LEN(B355))),"-"," ")</f>
        <v>final reckoning</v>
      </c>
      <c r="E355" s="27" t="s">
        <v>853</v>
      </c>
      <c r="F355" s="27" t="s">
        <v>1838</v>
      </c>
      <c r="G355" s="27" t="s">
        <v>70</v>
      </c>
      <c r="H355" s="27" t="s">
        <v>2745</v>
      </c>
      <c r="I355" s="27" t="s">
        <v>2745</v>
      </c>
      <c r="J355" s="27">
        <v>3</v>
      </c>
      <c r="K355" s="27" t="s">
        <v>1604</v>
      </c>
      <c r="L355" s="27"/>
      <c r="M355" s="27"/>
      <c r="N355" s="27"/>
      <c r="O355" s="27"/>
      <c r="P355" s="27"/>
      <c r="Q355" s="27" t="str" cm="1">
        <f t="array" ref="Q355">_xlfn.REGEXEXTRACT(B355,"(?&lt;=//)[^/]+")</f>
        <v>bdsmstreak.com</v>
      </c>
      <c r="R355" s="27" t="s">
        <v>685</v>
      </c>
      <c r="S355" s="27" t="s">
        <v>1750</v>
      </c>
      <c r="T355" s="27" t="str" cm="1">
        <f t="array" ref="T355">IF(S355&lt;&gt;"NotApplicable",_xlfn.REGEXEXTRACT(S355,"\d+(?=p)"),"NotApplicable")</f>
        <v>NotApplicable</v>
      </c>
      <c r="U355" s="27" t="s">
        <v>1750</v>
      </c>
      <c r="V355" s="27" t="b">
        <f>ISNUMBER(SEARCH(",",F355))</f>
        <v>0</v>
      </c>
    </row>
    <row r="356" spans="1:22" ht="30" x14ac:dyDescent="0.25">
      <c r="A356" s="27" t="str">
        <f>IF(ISBLANK(N356)=TRUE,"Pending","Done")</f>
        <v>Pending</v>
      </c>
      <c r="B356" s="27" t="s">
        <v>1972</v>
      </c>
      <c r="C356" s="27">
        <v>69</v>
      </c>
      <c r="D356" s="27" t="str">
        <f>SUBSTITUTE(TRIM(RIGHT(SUBSTITUTE(IF(RIGHT(B356,1)="/",LEFT(B356,LEN(B356)-1),B356),"/",REPT(" ",LEN(B356))),LEN(B356))),"-"," ")</f>
        <v>penned in</v>
      </c>
      <c r="E356" s="27" t="s">
        <v>853</v>
      </c>
      <c r="F356" s="27" t="s">
        <v>1973</v>
      </c>
      <c r="G356" s="27" t="s">
        <v>70</v>
      </c>
      <c r="H356" s="27" t="s">
        <v>2746</v>
      </c>
      <c r="I356" s="27" t="s">
        <v>2746</v>
      </c>
      <c r="J356" s="27">
        <v>6</v>
      </c>
      <c r="K356" s="27" t="s">
        <v>1974</v>
      </c>
      <c r="L356" s="27"/>
      <c r="M356" s="27"/>
      <c r="N356" s="27"/>
      <c r="O356" s="27"/>
      <c r="P356" s="27"/>
      <c r="Q356" s="27" t="str" cm="1">
        <f t="array" ref="Q356">_xlfn.REGEXEXTRACT(B356,"(?&lt;=//)[^/]+")</f>
        <v>bdsmstreak.com</v>
      </c>
      <c r="R356" s="27" t="s">
        <v>685</v>
      </c>
      <c r="S356" s="27" t="s">
        <v>1750</v>
      </c>
      <c r="T356" s="27" t="str" cm="1">
        <f t="array" ref="T356">IF(S356&lt;&gt;"NotApplicable",_xlfn.REGEXEXTRACT(S356,"\d+(?=p)"),"NotApplicable")</f>
        <v>NotApplicable</v>
      </c>
      <c r="U356" s="27" t="s">
        <v>1750</v>
      </c>
      <c r="V356" s="27" t="b">
        <f>ISNUMBER(SEARCH(",",F356))</f>
        <v>0</v>
      </c>
    </row>
    <row r="357" spans="1:22" ht="30" x14ac:dyDescent="0.25">
      <c r="A357" s="27" t="str">
        <f>IF(ISBLANK(N357)=TRUE,"Pending","Done")</f>
        <v>Pending</v>
      </c>
      <c r="B357" s="27" t="s">
        <v>2012</v>
      </c>
      <c r="C357" s="27">
        <v>78</v>
      </c>
      <c r="D357" s="27" t="str">
        <f>SUBSTITUTE(TRIM(RIGHT(SUBSTITUTE(IF(RIGHT(B357,1)="/",LEFT(B357,LEN(B357)-1),B357),"/",REPT(" ",LEN(B357))),LEN(B357))),"-"," ")</f>
        <v>sara faye elyse and claire adams</v>
      </c>
      <c r="E357" s="27" t="s">
        <v>853</v>
      </c>
      <c r="F357" s="27" t="s">
        <v>2013</v>
      </c>
      <c r="G357" s="27" t="s">
        <v>70</v>
      </c>
      <c r="H357" s="27" t="s">
        <v>2751</v>
      </c>
      <c r="I357" s="27" t="s">
        <v>2751</v>
      </c>
      <c r="J357" s="27">
        <v>1</v>
      </c>
      <c r="K357" s="27" t="s">
        <v>2014</v>
      </c>
      <c r="L357" s="27"/>
      <c r="M357" s="27"/>
      <c r="N357" s="27"/>
      <c r="O357" s="27"/>
      <c r="P357" s="27"/>
      <c r="Q357" s="27" t="str" cm="1">
        <f t="array" ref="Q357">_xlfn.REGEXEXTRACT(B357,"(?&lt;=//)[^/]+")</f>
        <v>bdsmstreak.com</v>
      </c>
      <c r="R357" s="27" t="s">
        <v>685</v>
      </c>
      <c r="S357" s="27" t="s">
        <v>1750</v>
      </c>
      <c r="T357" s="27" t="str" cm="1">
        <f t="array" ref="T357">IF(S357&lt;&gt;"NotApplicable",_xlfn.REGEXEXTRACT(S357,"\d+(?=p)"),"NotApplicable")</f>
        <v>NotApplicable</v>
      </c>
      <c r="U357" s="27" t="s">
        <v>1750</v>
      </c>
      <c r="V357" s="27" t="b">
        <f>ISNUMBER(SEARCH(",",F357))</f>
        <v>1</v>
      </c>
    </row>
    <row r="358" spans="1:22" ht="30" x14ac:dyDescent="0.25">
      <c r="A358" s="27" t="str">
        <f>IF(ISBLANK(N358)=TRUE,"Pending","Done")</f>
        <v>Pending</v>
      </c>
      <c r="B358" s="27" t="s">
        <v>1868</v>
      </c>
      <c r="C358" s="27">
        <v>80</v>
      </c>
      <c r="D358" s="27" t="str">
        <f>SUBSTITUTE(TRIM(RIGHT(SUBSTITUTE(IF(RIGHT(B358,1)="/",LEFT(B358,LEN(B358)-1),B358),"/",REPT(" ",LEN(B358))),LEN(B358))),"-"," ")</f>
        <v>hot blonde anikka albright s first bondage shoot ever4</v>
      </c>
      <c r="E358" s="27" t="s">
        <v>853</v>
      </c>
      <c r="F358" s="27" t="s">
        <v>1869</v>
      </c>
      <c r="G358" s="27" t="s">
        <v>70</v>
      </c>
      <c r="H358" s="27" t="s">
        <v>2753</v>
      </c>
      <c r="I358" s="27" t="s">
        <v>2752</v>
      </c>
      <c r="J358" s="27">
        <v>0</v>
      </c>
      <c r="K358" s="27" t="s">
        <v>1141</v>
      </c>
      <c r="L358" s="27"/>
      <c r="M358" s="27"/>
      <c r="N358" s="27"/>
      <c r="O358" s="27"/>
      <c r="P358" s="27"/>
      <c r="Q358" s="27" t="str" cm="1">
        <f t="array" ref="Q358">_xlfn.REGEXEXTRACT(B358,"(?&lt;=//)[^/]+")</f>
        <v>hcbdsm.com</v>
      </c>
      <c r="R358" s="27" t="s">
        <v>685</v>
      </c>
      <c r="S358" s="27" t="s">
        <v>1750</v>
      </c>
      <c r="T358" s="27" t="str" cm="1">
        <f t="array" ref="T358">IF(S358&lt;&gt;"NotApplicable",_xlfn.REGEXEXTRACT(S358,"\d+(?=p)"),"NotApplicable")</f>
        <v>NotApplicable</v>
      </c>
      <c r="U358" s="27" t="s">
        <v>1750</v>
      </c>
      <c r="V358" s="27" t="b">
        <f>ISNUMBER(SEARCH(",",F358))</f>
        <v>0</v>
      </c>
    </row>
    <row r="359" spans="1:22" ht="30" x14ac:dyDescent="0.25">
      <c r="A359" s="27" t="str">
        <f>IF(ISBLANK(N359)=TRUE,"Pending","Done")</f>
        <v>Pending</v>
      </c>
      <c r="B359" s="27" t="s">
        <v>1538</v>
      </c>
      <c r="C359" s="27">
        <v>153</v>
      </c>
      <c r="D359" s="27" t="str">
        <f>SUBSTITUTE(TRIM(RIGHT(SUBSTITUTE(IF(RIGHT(B359,1)="/",LEFT(B359,LEN(B359)-1),B359),"/",REPT(" ",LEN(B359))),LEN(B359))),"-"," ")</f>
        <v>device bondage live in hd</v>
      </c>
      <c r="E359" s="27" t="s">
        <v>853</v>
      </c>
      <c r="F359" s="27" t="s">
        <v>1539</v>
      </c>
      <c r="G359" s="27" t="s">
        <v>70</v>
      </c>
      <c r="H359" s="27" t="s">
        <v>2754</v>
      </c>
      <c r="I359" s="27" t="s">
        <v>2754</v>
      </c>
      <c r="J359" s="27" t="s">
        <v>1750</v>
      </c>
      <c r="K359" s="27" t="s">
        <v>1750</v>
      </c>
      <c r="L359" s="27" t="s">
        <v>1677</v>
      </c>
      <c r="M359" s="27"/>
      <c r="N359" s="27"/>
      <c r="O359" s="27"/>
      <c r="P359" s="27" t="s">
        <v>1676</v>
      </c>
      <c r="Q359" s="27" t="str" cm="1">
        <f t="array" ref="Q359">_xlfn.REGEXEXTRACT(B359,"(?&lt;=//)[^/]+")</f>
        <v>bdsmstreak.com</v>
      </c>
      <c r="R359" s="27" t="s">
        <v>685</v>
      </c>
      <c r="S359" s="27" t="s">
        <v>1750</v>
      </c>
      <c r="T359" s="27" t="str" cm="1">
        <f t="array" ref="T359">IF(S359&lt;&gt;"NotApplicable",_xlfn.REGEXEXTRACT(S359,"\d+(?=p)"),"NotApplicable")</f>
        <v>NotApplicable</v>
      </c>
      <c r="U359" s="27" t="s">
        <v>1750</v>
      </c>
      <c r="V359" s="27" t="b">
        <f>ISNUMBER(SEARCH(",",F359))</f>
        <v>1</v>
      </c>
    </row>
    <row r="360" spans="1:22" ht="30" x14ac:dyDescent="0.25">
      <c r="A360" s="27" t="str">
        <f>IF(ISBLANK(N360)=TRUE,"Pending","Done")</f>
        <v>Pending</v>
      </c>
      <c r="B360" s="27" t="s">
        <v>1551</v>
      </c>
      <c r="C360" s="27">
        <v>47</v>
      </c>
      <c r="D360" s="27" t="str">
        <f>SUBSTITUTE(TRIM(RIGHT(SUBSTITUTE(IF(RIGHT(B360,1)="/",LEFT(B360,LEN(B360)-1),B360),"/",REPT(" ",LEN(B360))),LEN(B360))),"-"," ")</f>
        <v>all natural blonde babe lisey sweet assfucked and abused in bondage</v>
      </c>
      <c r="E360" s="27" t="s">
        <v>1572</v>
      </c>
      <c r="F360" s="27" t="s">
        <v>1580</v>
      </c>
      <c r="G360" s="27" t="s">
        <v>70</v>
      </c>
      <c r="H360" s="27" t="s">
        <v>2756</v>
      </c>
      <c r="I360" s="27" t="s">
        <v>2755</v>
      </c>
      <c r="J360" s="27" t="s">
        <v>1750</v>
      </c>
      <c r="K360" s="27" t="s">
        <v>1750</v>
      </c>
      <c r="L360" s="27"/>
      <c r="M360" s="27"/>
      <c r="N360" s="27"/>
      <c r="O360" s="27"/>
      <c r="P360" s="27"/>
      <c r="Q360" s="27" t="str" cm="1">
        <f t="array" ref="Q360">_xlfn.REGEXEXTRACT(B360,"(?&lt;=//)[^/]+")</f>
        <v>bdsmstreak.com</v>
      </c>
      <c r="R360" s="27" t="s">
        <v>685</v>
      </c>
      <c r="S360" s="27" t="s">
        <v>1750</v>
      </c>
      <c r="T360" s="27" t="str" cm="1">
        <f t="array" ref="T360">IF(S360&lt;&gt;"NotApplicable",_xlfn.REGEXEXTRACT(S360,"\d+(?=p)"),"NotApplicable")</f>
        <v>NotApplicable</v>
      </c>
      <c r="U360" s="27" t="s">
        <v>1750</v>
      </c>
      <c r="V360" s="27" t="b">
        <f>ISNUMBER(SEARCH(",",F360))</f>
        <v>0</v>
      </c>
    </row>
    <row r="361" spans="1:22" ht="30" x14ac:dyDescent="0.25">
      <c r="A361" s="27" t="str">
        <f>IF(ISBLANK(N361)=TRUE,"Pending","Done")</f>
        <v>Pending</v>
      </c>
      <c r="B361" s="27" t="s">
        <v>1766</v>
      </c>
      <c r="C361" s="27">
        <v>56</v>
      </c>
      <c r="D361" s="27" t="str">
        <f>SUBSTITUTE(TRIM(RIGHT(SUBSTITUTE(IF(RIGHT(B361,1)="/",LEFT(B361,LEN(B361)-1),B361),"/",REPT(" ",LEN(B361))),LEN(B361))),"-"," ")</f>
        <v>casey calvert bondage torment and sexual servitude</v>
      </c>
      <c r="E361" s="27" t="s">
        <v>1572</v>
      </c>
      <c r="F361" s="27" t="s">
        <v>1767</v>
      </c>
      <c r="G361" s="27" t="s">
        <v>70</v>
      </c>
      <c r="H361" s="27" t="s">
        <v>2757</v>
      </c>
      <c r="I361" s="27" t="s">
        <v>2757</v>
      </c>
      <c r="J361" s="27">
        <v>0</v>
      </c>
      <c r="K361" s="27" t="s">
        <v>1141</v>
      </c>
      <c r="L361" s="27"/>
      <c r="M361" s="27"/>
      <c r="N361" s="27"/>
      <c r="O361" s="27"/>
      <c r="P361" s="27"/>
      <c r="Q361" s="27" t="str" cm="1">
        <f t="array" ref="Q361">_xlfn.REGEXEXTRACT(B361,"(?&lt;=//)[^/]+")</f>
        <v>bdsmmansion.com</v>
      </c>
      <c r="R361" s="27" t="s">
        <v>685</v>
      </c>
      <c r="S361" s="27" t="s">
        <v>1750</v>
      </c>
      <c r="T361" s="27" t="str" cm="1">
        <f t="array" ref="T361">IF(S361&lt;&gt;"NotApplicable",_xlfn.REGEXEXTRACT(S361,"\d+(?=p)"),"NotApplicable")</f>
        <v>NotApplicable</v>
      </c>
      <c r="U361" s="27" t="s">
        <v>1750</v>
      </c>
      <c r="V361" s="27" t="b">
        <f>ISNUMBER(SEARCH(",",F361))</f>
        <v>0</v>
      </c>
    </row>
    <row r="362" spans="1:22" ht="30" x14ac:dyDescent="0.25">
      <c r="A362" s="27" t="str">
        <f>IF(ISBLANK(N362)=TRUE,"Pending","Done")</f>
        <v>Pending</v>
      </c>
      <c r="B362" s="27" t="s">
        <v>1813</v>
      </c>
      <c r="C362" s="27">
        <v>71</v>
      </c>
      <c r="D362" s="27" t="str">
        <f>SUBSTITUTE(TRIM(RIGHT(SUBSTITUTE(IF(RIGHT(B362,1)="/",LEFT(B362,LEN(B362)-1),B362),"/",REPT(" ",LEN(B362))),LEN(B362))),"-"," ")</f>
        <v>double your pleasure</v>
      </c>
      <c r="E362" s="27" t="s">
        <v>1572</v>
      </c>
      <c r="F362" s="27" t="s">
        <v>1814</v>
      </c>
      <c r="G362" s="27" t="s">
        <v>70</v>
      </c>
      <c r="H362" s="27" t="s">
        <v>2747</v>
      </c>
      <c r="I362" s="27" t="s">
        <v>2747</v>
      </c>
      <c r="J362" s="27">
        <v>0</v>
      </c>
      <c r="K362" s="27" t="s">
        <v>1141</v>
      </c>
      <c r="L362" s="27"/>
      <c r="M362" s="27"/>
      <c r="N362" s="27"/>
      <c r="O362" s="27"/>
      <c r="P362" s="27"/>
      <c r="Q362" s="27" t="str" cm="1">
        <f t="array" ref="Q362">_xlfn.REGEXEXTRACT(B362,"(?&lt;=//)[^/]+")</f>
        <v>bdsmstreak.com</v>
      </c>
      <c r="R362" s="27" t="s">
        <v>685</v>
      </c>
      <c r="S362" s="27" t="s">
        <v>1750</v>
      </c>
      <c r="T362" s="27" t="str" cm="1">
        <f t="array" ref="T362">IF(S362&lt;&gt;"NotApplicable",_xlfn.REGEXEXTRACT(S362,"\d+(?=p)"),"NotApplicable")</f>
        <v>NotApplicable</v>
      </c>
      <c r="U362" s="27" t="s">
        <v>1750</v>
      </c>
      <c r="V362" s="27" t="b">
        <f>ISNUMBER(SEARCH(",",F362))</f>
        <v>1</v>
      </c>
    </row>
    <row r="363" spans="1:22" ht="30" x14ac:dyDescent="0.25">
      <c r="A363" s="27" t="str">
        <f>IF(ISBLANK(N363)=TRUE,"Pending","Done")</f>
        <v>Pending</v>
      </c>
      <c r="B363" s="27" t="s">
        <v>2034</v>
      </c>
      <c r="C363" s="27">
        <v>70</v>
      </c>
      <c r="D363" s="27" t="str">
        <f>SUBSTITUTE(TRIM(RIGHT(SUBSTITUTE(IF(RIGHT(B363,1)="/",LEFT(B363,LEN(B363)-1),B363),"/",REPT(" ",LEN(B363))),LEN(B363))),"-"," ")</f>
        <v>slutty anal nurses</v>
      </c>
      <c r="E363" s="27" t="s">
        <v>851</v>
      </c>
      <c r="F363" s="27" t="s">
        <v>2035</v>
      </c>
      <c r="G363" s="27" t="s">
        <v>70</v>
      </c>
      <c r="H363" s="27" t="s">
        <v>2748</v>
      </c>
      <c r="I363" s="27" t="s">
        <v>2748</v>
      </c>
      <c r="J363" s="27">
        <v>0</v>
      </c>
      <c r="K363" s="27" t="s">
        <v>1677</v>
      </c>
      <c r="L363" s="27"/>
      <c r="M363" s="27"/>
      <c r="N363" s="27"/>
      <c r="O363" s="27"/>
      <c r="P363" s="27"/>
      <c r="Q363" s="27" t="str" cm="1">
        <f t="array" ref="Q363">_xlfn.REGEXEXTRACT(B363,"(?&lt;=//)[^/]+")</f>
        <v>bdsmstreak.com</v>
      </c>
      <c r="R363" s="27" t="s">
        <v>685</v>
      </c>
      <c r="S363" s="27" t="s">
        <v>1750</v>
      </c>
      <c r="T363" s="27" t="str" cm="1">
        <f t="array" ref="T363">IF(S363&lt;&gt;"NotApplicable",_xlfn.REGEXEXTRACT(S363,"\d+(?=p)"),"NotApplicable")</f>
        <v>NotApplicable</v>
      </c>
      <c r="U363" s="27" t="s">
        <v>1750</v>
      </c>
      <c r="V363" s="27" t="b">
        <f>ISNUMBER(SEARCH(",",F363))</f>
        <v>1</v>
      </c>
    </row>
    <row r="364" spans="1:22" ht="30" x14ac:dyDescent="0.25">
      <c r="A364" s="27" t="str">
        <f>IF(ISBLANK(N364)=TRUE,"Pending","Done")</f>
        <v>Pending</v>
      </c>
      <c r="B364" s="27" t="s">
        <v>1899</v>
      </c>
      <c r="C364" s="27">
        <v>75</v>
      </c>
      <c r="D364" s="27" t="str">
        <f>SUBSTITUTE(TRIM(RIGHT(SUBSTITUTE(IF(RIGHT(B364,1)="/",LEFT(B364,LEN(B364)-1),B364),"/",REPT(" ",LEN(B364))),LEN(B364))),"-"," ")</f>
        <v>little nympho whore</v>
      </c>
      <c r="E364" s="27" t="s">
        <v>851</v>
      </c>
      <c r="F364" s="27" t="s">
        <v>1581</v>
      </c>
      <c r="G364" s="27" t="s">
        <v>70</v>
      </c>
      <c r="H364" s="27" t="s">
        <v>2749</v>
      </c>
      <c r="I364" s="27" t="s">
        <v>2749</v>
      </c>
      <c r="J364" s="27">
        <v>3</v>
      </c>
      <c r="K364" s="27" t="s">
        <v>1603</v>
      </c>
      <c r="L364" s="27"/>
      <c r="M364" s="27"/>
      <c r="N364" s="27"/>
      <c r="O364" s="27"/>
      <c r="P364" s="27"/>
      <c r="Q364" s="27" t="str" cm="1">
        <f t="array" ref="Q364">_xlfn.REGEXEXTRACT(B364,"(?&lt;=//)[^/]+")</f>
        <v>bdsmstreak.com</v>
      </c>
      <c r="R364" s="27" t="s">
        <v>685</v>
      </c>
      <c r="S364" s="27" t="s">
        <v>1750</v>
      </c>
      <c r="T364" s="27" t="str" cm="1">
        <f t="array" ref="T364">IF(S364&lt;&gt;"NotApplicable",_xlfn.REGEXEXTRACT(S364,"\d+(?=p)"),"NotApplicable")</f>
        <v>NotApplicable</v>
      </c>
      <c r="U364" s="27" t="s">
        <v>1750</v>
      </c>
      <c r="V364" s="27" t="b">
        <f>ISNUMBER(SEARCH(",",F364))</f>
        <v>0</v>
      </c>
    </row>
    <row r="365" spans="1:22" ht="30" x14ac:dyDescent="0.25">
      <c r="A365" s="27" t="str">
        <f>IF(ISBLANK(N365)=TRUE,"Pending","Done")</f>
        <v>Pending</v>
      </c>
      <c r="B365" s="27" t="s">
        <v>1829</v>
      </c>
      <c r="C365" s="27">
        <v>81</v>
      </c>
      <c r="D365" s="27" t="str">
        <f>SUBSTITUTE(TRIM(RIGHT(SUBSTITUTE(IF(RIGHT(B365,1)="/",LEFT(B365,LEN(B365)-1),B365),"/",REPT(" ",LEN(B365))),LEN(B365))),"-"," ")</f>
        <v>father issues</v>
      </c>
      <c r="E365" s="27" t="s">
        <v>1574</v>
      </c>
      <c r="F365" s="27" t="s">
        <v>1830</v>
      </c>
      <c r="G365" s="27" t="s">
        <v>70</v>
      </c>
      <c r="H365" s="27" t="s">
        <v>2750</v>
      </c>
      <c r="I365" s="27" t="s">
        <v>2750</v>
      </c>
      <c r="J365" s="27">
        <v>0</v>
      </c>
      <c r="K365" s="27" t="s">
        <v>1141</v>
      </c>
      <c r="L365" s="27"/>
      <c r="M365" s="27"/>
      <c r="N365" s="27"/>
      <c r="O365" s="27"/>
      <c r="P365" s="27"/>
      <c r="Q365" s="27" t="str" cm="1">
        <f t="array" ref="Q365">_xlfn.REGEXEXTRACT(B365,"(?&lt;=//)[^/]+")</f>
        <v>bdsmstreak.com</v>
      </c>
      <c r="R365" s="27" t="s">
        <v>685</v>
      </c>
      <c r="S365" s="27" t="s">
        <v>1750</v>
      </c>
      <c r="T365" s="27" t="str" cm="1">
        <f t="array" ref="T365">IF(S365&lt;&gt;"NotApplicable",_xlfn.REGEXEXTRACT(S365,"\d+(?=p)"),"NotApplicable")</f>
        <v>NotApplicable</v>
      </c>
      <c r="U365" s="27" t="s">
        <v>1750</v>
      </c>
      <c r="V365" s="27" t="b">
        <f>ISNUMBER(SEARCH(",",F365))</f>
        <v>1</v>
      </c>
    </row>
    <row r="366" spans="1:22" ht="45" x14ac:dyDescent="0.25">
      <c r="A366" s="27" t="str">
        <f>IF(ISBLANK(N366)=TRUE,"Pending","Done")</f>
        <v>Pending</v>
      </c>
      <c r="B366" s="27" t="s">
        <v>1793</v>
      </c>
      <c r="C366" s="27">
        <v>55</v>
      </c>
      <c r="D366" s="27" t="str">
        <f>SUBSTITUTE(TRIM(RIGHT(SUBSTITUTE(IF(RIGHT(B366,1)="/",LEFT(B366,LEN(B366)-1),B366),"/",REPT(" ",LEN(B366))),LEN(B366))),"-"," ")</f>
        <v>fucked and bound 2014 01 17 cute young blonde overwhelmed with bondage and cock elyssa greene mickey mod</v>
      </c>
      <c r="E366" s="27" t="s">
        <v>1794</v>
      </c>
      <c r="F366" s="27" t="s">
        <v>1795</v>
      </c>
      <c r="G366" s="27" t="s">
        <v>70</v>
      </c>
      <c r="H366" s="27" t="s">
        <v>2759</v>
      </c>
      <c r="I366" s="27" t="s">
        <v>2758</v>
      </c>
      <c r="J366" s="27">
        <v>8</v>
      </c>
      <c r="K366" s="27" t="s">
        <v>1796</v>
      </c>
      <c r="L366" s="27"/>
      <c r="M366" s="27"/>
      <c r="N366" s="27"/>
      <c r="O366" s="27"/>
      <c r="P366" s="27"/>
      <c r="Q366" s="27" t="str" cm="1">
        <f t="array" ref="Q366">_xlfn.REGEXEXTRACT(B366,"(?&lt;=//)[^/]+")</f>
        <v>bdsmstreak.com</v>
      </c>
      <c r="R366" s="27" t="s">
        <v>685</v>
      </c>
      <c r="S366" s="27" t="s">
        <v>1750</v>
      </c>
      <c r="T366" s="27" t="str" cm="1">
        <f t="array" ref="T366">IF(S366&lt;&gt;"NotApplicable",_xlfn.REGEXEXTRACT(S366,"\d+(?=p)"),"NotApplicable")</f>
        <v>NotApplicable</v>
      </c>
      <c r="U366" s="27" t="s">
        <v>1750</v>
      </c>
      <c r="V366" s="27" t="b">
        <f>ISNUMBER(SEARCH(",",F366))</f>
        <v>0</v>
      </c>
    </row>
    <row r="367" spans="1:22" ht="45" x14ac:dyDescent="0.25">
      <c r="A367" s="27" t="str">
        <f>IF(ISBLANK(N367)=TRUE,"Pending","Done")</f>
        <v>Pending</v>
      </c>
      <c r="B367" s="27" t="s">
        <v>1947</v>
      </c>
      <c r="C367" s="27">
        <v>62</v>
      </c>
      <c r="D367" s="27" t="str">
        <f>SUBSTITUTE(TRIM(RIGHT(SUBSTITUTE(IF(RIGHT(B367,1)="/",LEFT(B367,LEN(B367)-1),B367),"/",REPT(" ",LEN(B367))),LEN(B367))),"-"," ")</f>
        <v>fucked and bound 2014 04 04 newbie gets brutally fucked in tight bondage derrick pierce sophia locke</v>
      </c>
      <c r="E367" s="27" t="s">
        <v>1794</v>
      </c>
      <c r="F367" s="27" t="s">
        <v>1948</v>
      </c>
      <c r="G367" s="27" t="s">
        <v>70</v>
      </c>
      <c r="H367" s="27" t="s">
        <v>2761</v>
      </c>
      <c r="I367" s="27" t="s">
        <v>2760</v>
      </c>
      <c r="J367" s="27">
        <v>0</v>
      </c>
      <c r="K367" s="27" t="s">
        <v>1141</v>
      </c>
      <c r="L367" s="27"/>
      <c r="M367" s="27"/>
      <c r="N367" s="27"/>
      <c r="O367" s="27"/>
      <c r="P367" s="27"/>
      <c r="Q367" s="27" t="str" cm="1">
        <f t="array" ref="Q367">_xlfn.REGEXEXTRACT(B367,"(?&lt;=//)[^/]+")</f>
        <v>hcbdsm.com</v>
      </c>
      <c r="R367" s="27" t="s">
        <v>685</v>
      </c>
      <c r="S367" s="27" t="s">
        <v>1750</v>
      </c>
      <c r="T367" s="27" t="str" cm="1">
        <f t="array" ref="T367">IF(S367&lt;&gt;"NotApplicable",_xlfn.REGEXEXTRACT(S367,"\d+(?=p)"),"NotApplicable")</f>
        <v>NotApplicable</v>
      </c>
      <c r="U367" s="27" t="s">
        <v>1750</v>
      </c>
      <c r="V367" s="27" t="b">
        <f>ISNUMBER(SEARCH(",",F367))</f>
        <v>0</v>
      </c>
    </row>
    <row r="368" spans="1:22" ht="45" x14ac:dyDescent="0.25">
      <c r="A368" s="27" t="str">
        <f>IF(ISBLANK(N368)=TRUE,"Pending","Done")</f>
        <v>Pending</v>
      </c>
      <c r="B368" s="27" t="s">
        <v>2120</v>
      </c>
      <c r="C368" s="27">
        <v>67</v>
      </c>
      <c r="D368" s="27" t="str">
        <f>SUBSTITUTE(TRIM(RIGHT(SUBSTITUTE(IF(RIGHT(B368,1)="/",LEFT(B368,LEN(B368)-1),B368),"/",REPT(" ",LEN(B368))),LEN(B368))),"-"," ")</f>
        <v>fucked and bound 2014 07 11 vulgar display of power on ebony slut skin diamond tommy pistol</v>
      </c>
      <c r="E368" s="27" t="s">
        <v>1794</v>
      </c>
      <c r="F368" s="27" t="s">
        <v>2121</v>
      </c>
      <c r="G368" s="27" t="s">
        <v>70</v>
      </c>
      <c r="H368" s="27" t="s">
        <v>2763</v>
      </c>
      <c r="I368" s="27" t="s">
        <v>2762</v>
      </c>
      <c r="J368" s="27">
        <v>0</v>
      </c>
      <c r="K368" s="27" t="s">
        <v>1141</v>
      </c>
      <c r="L368" s="27"/>
      <c r="M368" s="27"/>
      <c r="N368" s="27"/>
      <c r="O368" s="27"/>
      <c r="P368" s="27"/>
      <c r="Q368" s="27" t="str" cm="1">
        <f t="array" ref="Q368">_xlfn.REGEXEXTRACT(B368,"(?&lt;=//)[^/]+")</f>
        <v>bdsmstreak.com</v>
      </c>
      <c r="R368" s="27" t="s">
        <v>685</v>
      </c>
      <c r="S368" s="27" t="s">
        <v>1750</v>
      </c>
      <c r="T368" s="27" t="str" cm="1">
        <f t="array" ref="T368">IF(S368&lt;&gt;"NotApplicable",_xlfn.REGEXEXTRACT(S368,"\d+(?=p)"),"NotApplicable")</f>
        <v>NotApplicable</v>
      </c>
      <c r="U368" s="27" t="s">
        <v>1750</v>
      </c>
      <c r="V368" s="27" t="b">
        <f>ISNUMBER(SEARCH(",",F368))</f>
        <v>0</v>
      </c>
    </row>
    <row r="369" spans="1:22" ht="30" x14ac:dyDescent="0.25">
      <c r="A369" s="27" t="str">
        <f>IF(ISBLANK(N369)=TRUE,"Pending","Done")</f>
        <v>Pending</v>
      </c>
      <c r="B369" s="27" t="s">
        <v>2117</v>
      </c>
      <c r="C369" s="27">
        <v>59</v>
      </c>
      <c r="D369" s="27" t="str">
        <f>SUBSTITUTE(TRIM(RIGHT(SUBSTITUTE(IF(RIGHT(B369,1)="/",LEFT(B369,LEN(B369)-1),B369),"/",REPT(" ",LEN(B369))),LEN(B369))),"-"," ")</f>
        <v>bdsm vendetta</v>
      </c>
      <c r="E369" s="27" t="s">
        <v>1761</v>
      </c>
      <c r="F369" s="27" t="s">
        <v>2118</v>
      </c>
      <c r="G369" s="27" t="s">
        <v>70</v>
      </c>
      <c r="H369" s="27" t="s">
        <v>2765</v>
      </c>
      <c r="I369" s="27" t="s">
        <v>2764</v>
      </c>
      <c r="J369" s="27">
        <v>8</v>
      </c>
      <c r="K369" s="27" t="s">
        <v>2119</v>
      </c>
      <c r="L369" s="27"/>
      <c r="M369" s="27"/>
      <c r="N369" s="27"/>
      <c r="O369" s="27"/>
      <c r="P369" s="27"/>
      <c r="Q369" s="27" t="str" cm="1">
        <f t="array" ref="Q369">_xlfn.REGEXEXTRACT(B369,"(?&lt;=//)[^/]+")</f>
        <v>hcbdsm.com</v>
      </c>
      <c r="R369" s="27" t="s">
        <v>685</v>
      </c>
      <c r="S369" s="27" t="s">
        <v>1750</v>
      </c>
      <c r="T369" s="27" t="str" cm="1">
        <f t="array" ref="T369">IF(S369&lt;&gt;"NotApplicable",_xlfn.REGEXEXTRACT(S369,"\d+(?=p)"),"NotApplicable")</f>
        <v>NotApplicable</v>
      </c>
      <c r="U369" s="27" t="s">
        <v>1750</v>
      </c>
      <c r="V369" s="27" t="b">
        <f>ISNUMBER(SEARCH(",",F369))</f>
        <v>0</v>
      </c>
    </row>
    <row r="370" spans="1:22" ht="90" x14ac:dyDescent="0.25">
      <c r="A370" s="27" t="str">
        <f>IF(ISBLANK(N370)=TRUE,"Pending","Done")</f>
        <v>Pending</v>
      </c>
      <c r="B370" s="27" t="s">
        <v>2028</v>
      </c>
      <c r="C370" s="27">
        <v>20</v>
      </c>
      <c r="D370" s="27" t="str">
        <f>SUBSTITUTE(TRIM(RIGHT(SUBSTITUTE(IF(RIGHT(B370,1)="/",LEFT(B370,LEN(B370)-1),B370),"/",REPT(" ",LEN(B370))),LEN(B370))),"-"," ")</f>
        <v>sexy brunette experiences nipple torture brutal crotch rope and extreme bondage</v>
      </c>
      <c r="E370" s="27" t="s">
        <v>849</v>
      </c>
      <c r="F370" s="27" t="s">
        <v>230</v>
      </c>
      <c r="G370" s="27" t="s">
        <v>70</v>
      </c>
      <c r="H370" s="27" t="s">
        <v>2767</v>
      </c>
      <c r="I370" s="27" t="s">
        <v>2766</v>
      </c>
      <c r="J370" s="27">
        <v>8</v>
      </c>
      <c r="K370" s="27" t="s">
        <v>2029</v>
      </c>
      <c r="L370" s="27"/>
      <c r="M370" s="27"/>
      <c r="N370" s="27"/>
      <c r="O370" s="27"/>
      <c r="P370" s="27"/>
      <c r="Q370" s="27" t="str" cm="1">
        <f t="array" ref="Q370">_xlfn.REGEXEXTRACT(B370,"(?&lt;=//)[^/]+")</f>
        <v>bdsmstreak.com</v>
      </c>
      <c r="R370" s="27" t="s">
        <v>685</v>
      </c>
      <c r="S370" s="27" t="s">
        <v>1750</v>
      </c>
      <c r="T370" s="27" t="str" cm="1">
        <f t="array" ref="T370">IF(S370&lt;&gt;"NotApplicable",_xlfn.REGEXEXTRACT(S370,"\d+(?=p)"),"NotApplicable")</f>
        <v>NotApplicable</v>
      </c>
      <c r="U370" s="27" t="s">
        <v>1750</v>
      </c>
      <c r="V370" s="27" t="b">
        <f>ISNUMBER(SEARCH(",",F370))</f>
        <v>0</v>
      </c>
    </row>
    <row r="371" spans="1:22" ht="45" x14ac:dyDescent="0.25">
      <c r="A371" s="27" t="str">
        <f>IF(ISBLANK(N371)=TRUE,"Pending","Done")</f>
        <v>Pending</v>
      </c>
      <c r="B371" s="27" t="s">
        <v>1913</v>
      </c>
      <c r="C371" s="27">
        <v>20</v>
      </c>
      <c r="D371" s="27" t="str">
        <f>SUBSTITUTE(TRIM(RIGHT(SUBSTITUTE(IF(RIGHT(B371,1)="/",LEFT(B371,LEN(B371)-1),B371),"/",REPT(" ",LEN(B371))),LEN(B371))),"-"," ")</f>
        <v>madison scott is bound in a traditional japanese torment positionmake to cum and squirt3</v>
      </c>
      <c r="E371" s="27" t="s">
        <v>849</v>
      </c>
      <c r="F371" s="27" t="s">
        <v>1914</v>
      </c>
      <c r="G371" s="27" t="s">
        <v>70</v>
      </c>
      <c r="H371" s="27" t="s">
        <v>2769</v>
      </c>
      <c r="I371" s="27" t="s">
        <v>2768</v>
      </c>
      <c r="J371" s="27">
        <v>0</v>
      </c>
      <c r="K371" s="27" t="s">
        <v>1141</v>
      </c>
      <c r="L371" s="27"/>
      <c r="M371" s="27"/>
      <c r="N371" s="27"/>
      <c r="O371" s="27"/>
      <c r="P371" s="27"/>
      <c r="Q371" s="27" t="str" cm="1">
        <f t="array" ref="Q371">_xlfn.REGEXEXTRACT(B371,"(?&lt;=//)[^/]+")</f>
        <v>hcbdsm.com</v>
      </c>
      <c r="R371" s="27" t="s">
        <v>685</v>
      </c>
      <c r="S371" s="27" t="s">
        <v>1750</v>
      </c>
      <c r="T371" s="27" t="str" cm="1">
        <f t="array" ref="T371">IF(S371&lt;&gt;"NotApplicable",_xlfn.REGEXEXTRACT(S371,"\d+(?=p)"),"NotApplicable")</f>
        <v>NotApplicable</v>
      </c>
      <c r="U371" s="27" t="s">
        <v>1750</v>
      </c>
      <c r="V371" s="27" t="b">
        <f>ISNUMBER(SEARCH(",",F371))</f>
        <v>0</v>
      </c>
    </row>
    <row r="372" spans="1:22" ht="30" x14ac:dyDescent="0.25">
      <c r="A372" s="27" t="str">
        <f>IF(ISBLANK(N372)=TRUE,"Pending","Done")</f>
        <v>Pending</v>
      </c>
      <c r="B372" s="27" t="s">
        <v>1570</v>
      </c>
      <c r="C372" s="27">
        <v>93</v>
      </c>
      <c r="D372" s="27" t="str">
        <f>SUBSTITUTE(TRIM(RIGHT(SUBSTITUTE(IF(RIGHT(B372,1)="/",LEFT(B372,LEN(B372)-1),B372),"/",REPT(" ",LEN(B372))),LEN(B372))),"-"," ")</f>
        <v>45596</v>
      </c>
      <c r="E372" s="27" t="s">
        <v>1574</v>
      </c>
      <c r="F372" s="27" t="s">
        <v>1598</v>
      </c>
      <c r="G372" s="27" t="s">
        <v>70</v>
      </c>
      <c r="H372" s="27" t="s">
        <v>2209</v>
      </c>
      <c r="I372" s="27" t="s">
        <v>2209</v>
      </c>
      <c r="J372" s="27" t="s">
        <v>1750</v>
      </c>
      <c r="K372" s="27" t="s">
        <v>1750</v>
      </c>
      <c r="L372" s="27" t="s">
        <v>1677</v>
      </c>
      <c r="M372" s="27"/>
      <c r="N372" s="27"/>
      <c r="O372" s="27"/>
      <c r="P372" s="27"/>
      <c r="Q372" s="27" t="str" cm="1">
        <f t="array" ref="Q372">_xlfn.REGEXEXTRACT(B372,"(?&lt;=//)[^/]+")</f>
        <v>www.kink.com</v>
      </c>
      <c r="R372" s="27" t="s">
        <v>685</v>
      </c>
      <c r="S372" s="27" t="s">
        <v>1750</v>
      </c>
      <c r="T372" s="27" t="str" cm="1">
        <f t="array" ref="T372">IF(S372&lt;&gt;"NotApplicable",_xlfn.REGEXEXTRACT(S372,"\d+(?=p)"),"NotApplicable")</f>
        <v>NotApplicable</v>
      </c>
      <c r="U372" s="27" t="s">
        <v>1750</v>
      </c>
      <c r="V372" s="27" t="b">
        <f>ISNUMBER(SEARCH(",",F372))</f>
        <v>1</v>
      </c>
    </row>
    <row r="373" spans="1:22" ht="45" x14ac:dyDescent="0.25">
      <c r="A373" s="27" t="str">
        <f>IF(ISBLANK(N373)=TRUE,"Pending","Done")</f>
        <v>Pending</v>
      </c>
      <c r="B373" s="27" t="s">
        <v>2057</v>
      </c>
      <c r="C373" s="27">
        <v>21</v>
      </c>
      <c r="D373" s="27" t="str">
        <f>SUBSTITUTE(TRIM(RIGHT(SUBSTITUTE(IF(RIGHT(B373,1)="/",LEFT(B373,LEN(B373)-1),B373),"/",REPT(" ",LEN(B373))),LEN(B373))),"-"," ")</f>
        <v>tall long legged blond is hung upside down made to cumchoked clamped abused left hanging</v>
      </c>
      <c r="E373" s="27" t="s">
        <v>849</v>
      </c>
      <c r="F373" s="27" t="s">
        <v>2056</v>
      </c>
      <c r="G373" s="27" t="s">
        <v>70</v>
      </c>
      <c r="H373" s="27" t="s">
        <v>2771</v>
      </c>
      <c r="I373" s="27" t="s">
        <v>2770</v>
      </c>
      <c r="J373" s="27">
        <v>7</v>
      </c>
      <c r="K373" s="27" t="s">
        <v>2058</v>
      </c>
      <c r="L373" s="27"/>
      <c r="M373" s="27"/>
      <c r="N373" s="27"/>
      <c r="O373" s="27"/>
      <c r="P373" s="27"/>
      <c r="Q373" s="27" t="str" cm="1">
        <f t="array" ref="Q373">_xlfn.REGEXEXTRACT(B373,"(?&lt;=//)[^/]+")</f>
        <v>bdsmstreak.com</v>
      </c>
      <c r="R373" s="27" t="s">
        <v>685</v>
      </c>
      <c r="S373" s="27" t="s">
        <v>1750</v>
      </c>
      <c r="T373" s="27" t="str" cm="1">
        <f t="array" ref="T373">IF(S373&lt;&gt;"NotApplicable",_xlfn.REGEXEXTRACT(S373,"\d+(?=p)"),"NotApplicable")</f>
        <v>NotApplicable</v>
      </c>
      <c r="U373" s="27" t="s">
        <v>1750</v>
      </c>
      <c r="V373" s="27" t="b">
        <f>ISNUMBER(SEARCH(",",F373))</f>
        <v>0</v>
      </c>
    </row>
    <row r="374" spans="1:22" ht="30" x14ac:dyDescent="0.25">
      <c r="A374" s="27" t="str">
        <f>IF(ISBLANK(N374)=TRUE,"Pending","Done")</f>
        <v>Pending</v>
      </c>
      <c r="B374" s="27" t="s">
        <v>1969</v>
      </c>
      <c r="C374" s="27">
        <v>45</v>
      </c>
      <c r="D374" s="27" t="str">
        <f>SUBSTITUTE(TRIM(RIGHT(SUBSTITUTE(IF(RIGHT(B374,1)="/",LEFT(B374,LEN(B374)-1),B374),"/",REPT(" ",LEN(B374))),LEN(B374))),"-"," ")</f>
        <v>26969</v>
      </c>
      <c r="E374" s="27" t="s">
        <v>1794</v>
      </c>
      <c r="F374" s="27" t="s">
        <v>1970</v>
      </c>
      <c r="G374" s="27" t="s">
        <v>70</v>
      </c>
      <c r="H374" s="27" t="s">
        <v>2179</v>
      </c>
      <c r="I374" s="27" t="s">
        <v>2179</v>
      </c>
      <c r="J374" s="27">
        <v>0</v>
      </c>
      <c r="K374" s="27" t="s">
        <v>1141</v>
      </c>
      <c r="L374" s="27"/>
      <c r="M374" s="27"/>
      <c r="N374" s="27"/>
      <c r="O374" s="27"/>
      <c r="P374" s="27"/>
      <c r="Q374" s="27" t="str" cm="1">
        <f t="array" ref="Q374">_xlfn.REGEXEXTRACT(B374,"(?&lt;=//)[^/]+")</f>
        <v>www.twistedfactory.com</v>
      </c>
      <c r="R374" s="27" t="s">
        <v>685</v>
      </c>
      <c r="S374" s="27" t="s">
        <v>1750</v>
      </c>
      <c r="T374" s="27" t="str" cm="1">
        <f t="array" ref="T374">IF(S374&lt;&gt;"NotApplicable",_xlfn.REGEXEXTRACT(S374,"\d+(?=p)"),"NotApplicable")</f>
        <v>NotApplicable</v>
      </c>
      <c r="U374" s="27" t="s">
        <v>1750</v>
      </c>
      <c r="V374" s="27" t="b">
        <f>ISNUMBER(SEARCH(",",F374))</f>
        <v>0</v>
      </c>
    </row>
    <row r="375" spans="1:22" ht="30" x14ac:dyDescent="0.25">
      <c r="A375" s="27" t="str">
        <f>IF(ISBLANK(N375)=TRUE,"Pending","Done")</f>
        <v>Pending</v>
      </c>
      <c r="B375" s="27" t="s">
        <v>1545</v>
      </c>
      <c r="C375" s="27">
        <v>26</v>
      </c>
      <c r="D375" s="27" t="str">
        <f>SUBSTITUTE(TRIM(RIGHT(SUBSTITUTE(IF(RIGHT(B375,1)="/",LEFT(B375,LEN(B375)-1),B375),"/",REPT(" ",LEN(B375))),LEN(B375))),"-"," ")</f>
        <v>amber rayne live show part 2 drawn and quartered</v>
      </c>
      <c r="E375" s="27" t="s">
        <v>849</v>
      </c>
      <c r="F375" s="27" t="s">
        <v>219</v>
      </c>
      <c r="G375" s="27" t="s">
        <v>70</v>
      </c>
      <c r="H375" s="27" t="s">
        <v>2773</v>
      </c>
      <c r="I375" s="27" t="s">
        <v>2772</v>
      </c>
      <c r="J375" s="27">
        <v>6</v>
      </c>
      <c r="K375" s="27" t="s">
        <v>2774</v>
      </c>
      <c r="L375" s="27"/>
      <c r="M375" s="27"/>
      <c r="N375" s="27"/>
      <c r="O375" s="27"/>
      <c r="P375" s="27"/>
      <c r="Q375" s="27" t="str" cm="1">
        <f t="array" ref="Q375">_xlfn.REGEXEXTRACT(B375,"(?&lt;=//)[^/]+")</f>
        <v>bdsmstreak.com</v>
      </c>
      <c r="R375" s="27" t="s">
        <v>685</v>
      </c>
      <c r="S375" s="27" t="s">
        <v>1750</v>
      </c>
      <c r="T375" s="27" t="str" cm="1">
        <f t="array" ref="T375">IF(S375&lt;&gt;"NotApplicable",_xlfn.REGEXEXTRACT(S375,"\d+(?=p)"),"NotApplicable")</f>
        <v>NotApplicable</v>
      </c>
      <c r="U375" s="27" t="s">
        <v>1750</v>
      </c>
      <c r="V375" s="27" t="b">
        <f>ISNUMBER(SEARCH(",",F375))</f>
        <v>0</v>
      </c>
    </row>
    <row r="376" spans="1:22" ht="30" x14ac:dyDescent="0.25">
      <c r="A376" s="27" t="str">
        <f>IF(ISBLANK(N376)=TRUE,"Pending","Done")</f>
        <v>Pending</v>
      </c>
      <c r="B376" s="27" t="s">
        <v>1546</v>
      </c>
      <c r="C376" s="27">
        <v>29</v>
      </c>
      <c r="D376" s="27" t="str">
        <f>SUBSTITUTE(TRIM(RIGHT(SUBSTITUTE(IF(RIGHT(B376,1)="/",LEFT(B376,LEN(B376)-1),B376),"/",REPT(" ",LEN(B376))),LEN(B376))),"-"," ")</f>
        <v>amber rayne live show part 3 bent and fisted</v>
      </c>
      <c r="E376" s="27" t="s">
        <v>849</v>
      </c>
      <c r="F376" s="27" t="s">
        <v>219</v>
      </c>
      <c r="G376" s="27" t="s">
        <v>70</v>
      </c>
      <c r="H376" s="27" t="s">
        <v>2776</v>
      </c>
      <c r="I376" s="27" t="s">
        <v>2775</v>
      </c>
      <c r="J376" s="27">
        <v>6</v>
      </c>
      <c r="K376" s="27" t="s">
        <v>2774</v>
      </c>
      <c r="L376" s="27"/>
      <c r="M376" s="27"/>
      <c r="N376" s="27"/>
      <c r="O376" s="27"/>
      <c r="P376" s="27" t="s">
        <v>1144</v>
      </c>
      <c r="Q376" s="27" t="str" cm="1">
        <f t="array" ref="Q376">_xlfn.REGEXEXTRACT(B376,"(?&lt;=//)[^/]+")</f>
        <v>bdsmstreak.com</v>
      </c>
      <c r="R376" s="27" t="s">
        <v>685</v>
      </c>
      <c r="S376" s="27" t="s">
        <v>1750</v>
      </c>
      <c r="T376" s="27" t="str" cm="1">
        <f t="array" ref="T376">IF(S376&lt;&gt;"NotApplicable",_xlfn.REGEXEXTRACT(S376,"\d+(?=p)"),"NotApplicable")</f>
        <v>NotApplicable</v>
      </c>
      <c r="U376" s="27" t="s">
        <v>1750</v>
      </c>
      <c r="V376" s="27" t="b">
        <f>ISNUMBER(SEARCH(",",F376))</f>
        <v>0</v>
      </c>
    </row>
    <row r="377" spans="1:22" ht="30" x14ac:dyDescent="0.25">
      <c r="A377" s="27" t="str">
        <f>IF(ISBLANK(N377)=TRUE,"Pending","Done")</f>
        <v>Pending</v>
      </c>
      <c r="B377" s="27" t="s">
        <v>1834</v>
      </c>
      <c r="C377" s="27">
        <v>39</v>
      </c>
      <c r="D377" s="27" t="str">
        <f>SUBSTITUTE(TRIM(RIGHT(SUBSTITUTE(IF(RIGHT(B377,1)="/",LEFT(B377,LEN(B377)-1),B377),"/",REPT(" ",LEN(B377))),LEN(B377))),"-"," ")</f>
        <v>part 2 felony live show most flexible milf</v>
      </c>
      <c r="E377" s="27" t="s">
        <v>849</v>
      </c>
      <c r="F377" s="27" t="s">
        <v>734</v>
      </c>
      <c r="G377" s="27" t="s">
        <v>70</v>
      </c>
      <c r="H377" s="27" t="s">
        <v>2778</v>
      </c>
      <c r="I377" s="27" t="s">
        <v>2777</v>
      </c>
      <c r="J377" s="27">
        <v>0</v>
      </c>
      <c r="K377" s="27" t="s">
        <v>1141</v>
      </c>
      <c r="L377" s="27" t="s">
        <v>1816</v>
      </c>
      <c r="M377" s="27"/>
      <c r="N377" s="27"/>
      <c r="O377" s="27"/>
      <c r="P377" s="27"/>
      <c r="Q377" s="27" t="str" cm="1">
        <f t="array" ref="Q377">_xlfn.REGEXEXTRACT(B377,"(?&lt;=//)[^/]+")</f>
        <v>hcbdsm.com</v>
      </c>
      <c r="R377" s="27" t="s">
        <v>685</v>
      </c>
      <c r="S377" s="27" t="s">
        <v>1750</v>
      </c>
      <c r="T377" s="27" t="str" cm="1">
        <f t="array" ref="T377">IF(S377&lt;&gt;"NotApplicable",_xlfn.REGEXEXTRACT(S377,"\d+(?=p)"),"NotApplicable")</f>
        <v>NotApplicable</v>
      </c>
      <c r="U377" s="27" t="s">
        <v>1750</v>
      </c>
      <c r="V377" s="27" t="b">
        <f>ISNUMBER(SEARCH(",",F377))</f>
        <v>0</v>
      </c>
    </row>
    <row r="378" spans="1:22" ht="30" x14ac:dyDescent="0.25">
      <c r="A378" s="27" t="str">
        <f>IF(ISBLANK(N378)=TRUE,"Pending","Done")</f>
        <v>Pending</v>
      </c>
      <c r="B378" s="27" t="s">
        <v>1788</v>
      </c>
      <c r="C378" s="27">
        <v>43</v>
      </c>
      <c r="D378" s="27" t="str">
        <f>SUBSTITUTE(TRIM(RIGHT(SUBSTITUTE(IF(RIGHT(B378,1)="/",LEFT(B378,LEN(B378)-1),B378),"/",REPT(" ",LEN(B378))),LEN(B378))),"-"," ")</f>
        <v>crystal frost</v>
      </c>
      <c r="E378" s="27" t="s">
        <v>849</v>
      </c>
      <c r="F378" s="27" t="s">
        <v>1244</v>
      </c>
      <c r="G378" s="27" t="s">
        <v>70</v>
      </c>
      <c r="H378" s="27" t="s">
        <v>2779</v>
      </c>
      <c r="I378" s="27" t="s">
        <v>2780</v>
      </c>
      <c r="J378" s="27">
        <v>7</v>
      </c>
      <c r="K378" s="27" t="s">
        <v>1789</v>
      </c>
      <c r="L378" s="27"/>
      <c r="M378" s="27"/>
      <c r="N378" s="27"/>
      <c r="O378" s="27"/>
      <c r="P378" s="27"/>
      <c r="Q378" s="27" t="str" cm="1">
        <f t="array" ref="Q378">_xlfn.REGEXEXTRACT(B378,"(?&lt;=//)[^/]+")</f>
        <v>bdsmstreak.com</v>
      </c>
      <c r="R378" s="27" t="s">
        <v>685</v>
      </c>
      <c r="S378" s="27" t="s">
        <v>1750</v>
      </c>
      <c r="T378" s="27" t="str" cm="1">
        <f t="array" ref="T378">IF(S378&lt;&gt;"NotApplicable",_xlfn.REGEXEXTRACT(S378,"\d+(?=p)"),"NotApplicable")</f>
        <v>NotApplicable</v>
      </c>
      <c r="U378" s="27" t="s">
        <v>1750</v>
      </c>
      <c r="V378" s="27" t="b">
        <f>ISNUMBER(SEARCH(",",F378))</f>
        <v>0</v>
      </c>
    </row>
    <row r="379" spans="1:22" ht="45" x14ac:dyDescent="0.25">
      <c r="A379" s="27" t="str">
        <f>IF(ISBLANK(N379)=TRUE,"Pending","Done")</f>
        <v>Pending</v>
      </c>
      <c r="B379" s="27" t="s">
        <v>1471</v>
      </c>
      <c r="C379" s="27">
        <v>20</v>
      </c>
      <c r="D379" s="27" t="str">
        <f>SUBSTITUTE(TRIM(RIGHT(SUBSTITUTE(IF(RIGHT(B379,1)="/",LEFT(B379,LEN(B379)-1),B379),"/",REPT(" ",LEN(B379))),LEN(B379))),"-"," ")</f>
        <v>11491</v>
      </c>
      <c r="E379" s="27" t="s">
        <v>849</v>
      </c>
      <c r="F379" s="27" t="s">
        <v>1472</v>
      </c>
      <c r="G379" s="27" t="s">
        <v>70</v>
      </c>
      <c r="H379" s="27" t="s">
        <v>2169</v>
      </c>
      <c r="I379" s="27" t="s">
        <v>2169</v>
      </c>
      <c r="J379" s="27" t="s">
        <v>1750</v>
      </c>
      <c r="K379" s="27" t="s">
        <v>1750</v>
      </c>
      <c r="L379" s="27"/>
      <c r="M379" s="27"/>
      <c r="N379" s="27"/>
      <c r="O379" s="27"/>
      <c r="P379" s="27" t="s">
        <v>1144</v>
      </c>
      <c r="Q379" s="27" t="str" cm="1">
        <f t="array" ref="Q379">_xlfn.REGEXEXTRACT(B379,"(?&lt;=//)[^/]+")</f>
        <v>www.kink.com</v>
      </c>
      <c r="R379" s="27" t="s">
        <v>685</v>
      </c>
      <c r="S379" s="27" t="s">
        <v>1750</v>
      </c>
      <c r="T379" s="27" t="str" cm="1">
        <f t="array" ref="T379">IF(S379&lt;&gt;"NotApplicable",_xlfn.REGEXEXTRACT(S379,"\d+(?=p)"),"NotApplicable")</f>
        <v>NotApplicable</v>
      </c>
      <c r="U379" s="27" t="s">
        <v>1750</v>
      </c>
      <c r="V379" s="27" t="b">
        <f>ISNUMBER(SEARCH(",",F379))</f>
        <v>0</v>
      </c>
    </row>
    <row r="380" spans="1:22" ht="30" x14ac:dyDescent="0.25">
      <c r="A380" s="27" t="str">
        <f>IF(ISBLANK(N380)=TRUE,"Pending","Done")</f>
        <v>Pending</v>
      </c>
      <c r="B380" s="27" t="s">
        <v>1759</v>
      </c>
      <c r="C380" s="27">
        <v>54</v>
      </c>
      <c r="D380" s="27" t="str">
        <f>SUBSTITUTE(TRIM(RIGHT(SUBSTITUTE(IF(RIGHT(B380,1)="/",LEFT(B380,LEN(B380)-1),B380),"/",REPT(" ",LEN(B380))),LEN(B380))),"-"," ")</f>
        <v>3863</v>
      </c>
      <c r="E380" s="27" t="s">
        <v>849</v>
      </c>
      <c r="F380" s="27" t="s">
        <v>1760</v>
      </c>
      <c r="G380" s="27" t="s">
        <v>70</v>
      </c>
      <c r="H380" s="27" t="s">
        <v>2187</v>
      </c>
      <c r="I380" s="27" t="s">
        <v>2187</v>
      </c>
      <c r="J380" s="27">
        <v>0</v>
      </c>
      <c r="K380" s="27" t="s">
        <v>1141</v>
      </c>
      <c r="L380" s="27"/>
      <c r="M380" s="27"/>
      <c r="N380" s="27"/>
      <c r="O380" s="27"/>
      <c r="P380" s="27"/>
      <c r="Q380" s="27" t="str" cm="1">
        <f t="array" ref="Q380">_xlfn.REGEXEXTRACT(B380,"(?&lt;=//)[^/]+")</f>
        <v>www.kink.com</v>
      </c>
      <c r="R380" s="27" t="s">
        <v>685</v>
      </c>
      <c r="S380" s="27" t="s">
        <v>1750</v>
      </c>
      <c r="T380" s="27" t="str" cm="1">
        <f t="array" ref="T380">IF(S380&lt;&gt;"NotApplicable",_xlfn.REGEXEXTRACT(S380,"\d+(?=p)"),"NotApplicable")</f>
        <v>NotApplicable</v>
      </c>
      <c r="U380" s="27" t="s">
        <v>1750</v>
      </c>
      <c r="V380" s="27" t="b">
        <f>ISNUMBER(SEARCH(",",F380))</f>
        <v>0</v>
      </c>
    </row>
    <row r="381" spans="1:22" ht="30" x14ac:dyDescent="0.25">
      <c r="A381" s="27" t="str">
        <f>IF(ISBLANK(N381)=TRUE,"Pending","Done")</f>
        <v>Pending</v>
      </c>
      <c r="B381" s="27" t="s">
        <v>1563</v>
      </c>
      <c r="C381" s="27">
        <v>65</v>
      </c>
      <c r="D381" s="27" t="str">
        <f>SUBSTITUTE(TRIM(RIGHT(SUBSTITUTE(IF(RIGHT(B381,1)="/",LEFT(B381,LEN(B381)-1),B381),"/",REPT(" ",LEN(B381))),LEN(B381))),"-"," ")</f>
        <v>26099</v>
      </c>
      <c r="E381" s="27" t="s">
        <v>849</v>
      </c>
      <c r="F381" s="27" t="s">
        <v>1589</v>
      </c>
      <c r="G381" s="27" t="s">
        <v>70</v>
      </c>
      <c r="H381" s="27" t="s">
        <v>2196</v>
      </c>
      <c r="I381" s="27" t="s">
        <v>2196</v>
      </c>
      <c r="J381" s="27" t="s">
        <v>1750</v>
      </c>
      <c r="K381" s="27" t="s">
        <v>1750</v>
      </c>
      <c r="L381" s="27"/>
      <c r="M381" s="27"/>
      <c r="N381" s="27"/>
      <c r="O381" s="27"/>
      <c r="P381" s="27" t="s">
        <v>1609</v>
      </c>
      <c r="Q381" s="27" t="str" cm="1">
        <f t="array" ref="Q381">_xlfn.REGEXEXTRACT(B381,"(?&lt;=//)[^/]+")</f>
        <v>www.kink.com</v>
      </c>
      <c r="R381" s="27" t="s">
        <v>685</v>
      </c>
      <c r="S381" s="27" t="s">
        <v>1750</v>
      </c>
      <c r="T381" s="27" t="str" cm="1">
        <f t="array" ref="T381">IF(S381&lt;&gt;"NotApplicable",_xlfn.REGEXEXTRACT(S381,"\d+(?=p)"),"NotApplicable")</f>
        <v>NotApplicable</v>
      </c>
      <c r="U381" s="27" t="s">
        <v>1750</v>
      </c>
      <c r="V381" s="27" t="b">
        <f>ISNUMBER(SEARCH(",",F381))</f>
        <v>0</v>
      </c>
    </row>
    <row r="382" spans="1:22" ht="30" x14ac:dyDescent="0.25">
      <c r="A382" s="27" t="str">
        <f>IF(ISBLANK(N382)=TRUE,"Pending","Done")</f>
        <v>Pending</v>
      </c>
      <c r="B382" s="27" t="s">
        <v>1652</v>
      </c>
      <c r="C382" s="27">
        <v>14</v>
      </c>
      <c r="D382" s="27" t="str">
        <f>SUBSTITUTE(TRIM(RIGHT(SUBSTITUTE(IF(RIGHT(B382,1)="/",LEFT(B382,LEN(B382)-1),B382),"/",REPT(" ",LEN(B382))),LEN(B382))),"-"," ")</f>
        <v>10425</v>
      </c>
      <c r="E382" s="27" t="s">
        <v>849</v>
      </c>
      <c r="F382" s="27" t="s">
        <v>1653</v>
      </c>
      <c r="G382" s="27" t="s">
        <v>70</v>
      </c>
      <c r="H382" s="27" t="s">
        <v>2149</v>
      </c>
      <c r="I382" s="27" t="s">
        <v>2149</v>
      </c>
      <c r="J382" s="27" t="s">
        <v>1750</v>
      </c>
      <c r="K382" s="27" t="s">
        <v>1750</v>
      </c>
      <c r="L382" s="27"/>
      <c r="M382" s="27"/>
      <c r="N382" s="27"/>
      <c r="O382" s="27"/>
      <c r="P382" s="27" t="s">
        <v>1654</v>
      </c>
      <c r="Q382" s="27" t="str" cm="1">
        <f t="array" ref="Q382">_xlfn.REGEXEXTRACT(B382,"(?&lt;=//)[^/]+")</f>
        <v>www.kink.com</v>
      </c>
      <c r="R382" s="27" t="s">
        <v>685</v>
      </c>
      <c r="S382" s="27" t="s">
        <v>1750</v>
      </c>
      <c r="T382" s="27" t="str" cm="1">
        <f t="array" ref="T382">IF(S382&lt;&gt;"NotApplicable",_xlfn.REGEXEXTRACT(S382,"\d+(?=p)"),"NotApplicable")</f>
        <v>NotApplicable</v>
      </c>
      <c r="U382" s="27" t="s">
        <v>1750</v>
      </c>
      <c r="V382" s="27" t="b">
        <f>ISNUMBER(SEARCH(",",F382))</f>
        <v>0</v>
      </c>
    </row>
    <row r="383" spans="1:22" ht="45" x14ac:dyDescent="0.25">
      <c r="A383" s="27" t="str">
        <f>IF(ISBLANK(N383)=TRUE,"Pending","Done")</f>
        <v>Pending</v>
      </c>
      <c r="B383" s="27" t="s">
        <v>2435</v>
      </c>
      <c r="C383" s="27">
        <v>16</v>
      </c>
      <c r="D383" s="27" t="str">
        <f>SUBSTITUTE(TRIM(RIGHT(SUBSTITUTE(IF(RIGHT(B383,1)="/",LEFT(B383,LEN(B383)-1),B383),"/",REPT(" ",LEN(B383))),LEN(B383))),"-"," ")</f>
        <v>hot asian is finger banged to multiple orgasms then vibrated to multiple back and forth no mercy2</v>
      </c>
      <c r="E383" s="27" t="s">
        <v>849</v>
      </c>
      <c r="F383" s="27" t="s">
        <v>2432</v>
      </c>
      <c r="G383" s="27" t="s">
        <v>70</v>
      </c>
      <c r="H383" s="27" t="s">
        <v>2433</v>
      </c>
      <c r="I383" s="27" t="s">
        <v>2434</v>
      </c>
      <c r="J383" s="27">
        <v>0</v>
      </c>
      <c r="K383" s="27" t="s">
        <v>1141</v>
      </c>
      <c r="L383" s="27"/>
      <c r="M383" s="27"/>
      <c r="N383" s="27"/>
      <c r="O383" s="27"/>
      <c r="P383" s="27"/>
      <c r="Q383" s="27" t="str" cm="1">
        <f t="array" ref="Q383">_xlfn.REGEXEXTRACT(B383,"(?&lt;=//)[^/]+")</f>
        <v>hcbdsm.com</v>
      </c>
      <c r="R383" s="27" t="s">
        <v>685</v>
      </c>
      <c r="S383" s="27" t="s">
        <v>1750</v>
      </c>
      <c r="T383" s="27" t="str" cm="1">
        <f t="array" ref="T383">IF(S383&lt;&gt;"NotApplicable",_xlfn.REGEXEXTRACT(S383,"\d+(?=p)"),"NotApplicable")</f>
        <v>NotApplicable</v>
      </c>
      <c r="U383" s="27" t="s">
        <v>1750</v>
      </c>
      <c r="V383" s="27" t="b">
        <f>ISNUMBER(SEARCH(",",F383))</f>
        <v>0</v>
      </c>
    </row>
    <row r="384" spans="1:22" ht="30" x14ac:dyDescent="0.25">
      <c r="A384" s="27" t="str">
        <f>IF(ISBLANK(N384)=TRUE,"Pending","Done")</f>
        <v>Pending</v>
      </c>
      <c r="B384" s="27" t="s">
        <v>1871</v>
      </c>
      <c r="C384" s="27">
        <v>43</v>
      </c>
      <c r="D384" s="27" t="str">
        <f>SUBSTITUTE(TRIM(RIGHT(SUBSTITUTE(IF(RIGHT(B384,1)="/",LEFT(B384,LEN(B384)-1),B384),"/",REPT(" ",LEN(B384))),LEN(B384))),"-"," ")</f>
        <v>7129</v>
      </c>
      <c r="E384" s="27" t="s">
        <v>849</v>
      </c>
      <c r="F384" s="27" t="s">
        <v>228</v>
      </c>
      <c r="G384" s="27" t="s">
        <v>70</v>
      </c>
      <c r="H384" s="27" t="s">
        <v>2174</v>
      </c>
      <c r="I384" s="27" t="s">
        <v>2174</v>
      </c>
      <c r="J384" s="27">
        <v>5</v>
      </c>
      <c r="K384" s="27" t="s">
        <v>1872</v>
      </c>
      <c r="L384" s="27"/>
      <c r="M384" s="27"/>
      <c r="N384" s="27"/>
      <c r="O384" s="27"/>
      <c r="P384" s="27"/>
      <c r="Q384" s="27" t="str" cm="1">
        <f t="array" ref="Q384">_xlfn.REGEXEXTRACT(B384,"(?&lt;=//)[^/]+")</f>
        <v>www.kink.com</v>
      </c>
      <c r="R384" s="27" t="s">
        <v>685</v>
      </c>
      <c r="S384" s="27" t="s">
        <v>1750</v>
      </c>
      <c r="T384" s="27" t="str" cm="1">
        <f t="array" ref="T384">IF(S384&lt;&gt;"NotApplicable",_xlfn.REGEXEXTRACT(S384,"\d+(?=p)"),"NotApplicable")</f>
        <v>NotApplicable</v>
      </c>
      <c r="U384" s="27" t="s">
        <v>1750</v>
      </c>
      <c r="V384" s="27" t="b">
        <f>ISNUMBER(SEARCH(",",F384))</f>
        <v>0</v>
      </c>
    </row>
    <row r="385" spans="1:22" ht="45" x14ac:dyDescent="0.25">
      <c r="A385" s="27" t="str">
        <f>IF(ISBLANK(N385)=TRUE,"Pending","Done")</f>
        <v>Pending</v>
      </c>
      <c r="B385" s="27" t="s">
        <v>1971</v>
      </c>
      <c r="C385" s="27">
        <v>20</v>
      </c>
      <c r="D385" s="27" t="str">
        <f>SUBSTITUTE(TRIM(RIGHT(SUBSTITUTE(IF(RIGHT(B385,1)="/",LEFT(B385,LEN(B385)-1),B385),"/",REPT(" ",LEN(B385))),LEN(B385))),"-"," ")</f>
        <v>11747</v>
      </c>
      <c r="E385" s="27" t="s">
        <v>849</v>
      </c>
      <c r="F385" s="27" t="s">
        <v>1456</v>
      </c>
      <c r="G385" s="27" t="s">
        <v>70</v>
      </c>
      <c r="H385" s="27" t="s">
        <v>2170</v>
      </c>
      <c r="I385" s="27" t="s">
        <v>2170</v>
      </c>
      <c r="J385" s="27">
        <v>0</v>
      </c>
      <c r="K385" s="27" t="s">
        <v>1141</v>
      </c>
      <c r="L385" s="27"/>
      <c r="M385" s="27"/>
      <c r="N385" s="27"/>
      <c r="O385" s="27"/>
      <c r="P385" s="27"/>
      <c r="Q385" s="27" t="str" cm="1">
        <f t="array" ref="Q385">_xlfn.REGEXEXTRACT(B385,"(?&lt;=//)[^/]+")</f>
        <v>www.kink.com</v>
      </c>
      <c r="R385" s="27" t="s">
        <v>685</v>
      </c>
      <c r="S385" s="27" t="s">
        <v>1750</v>
      </c>
      <c r="T385" s="27" t="str" cm="1">
        <f t="array" ref="T385">IF(S385&lt;&gt;"NotApplicable",_xlfn.REGEXEXTRACT(S385,"\d+(?=p)"),"NotApplicable")</f>
        <v>NotApplicable</v>
      </c>
      <c r="U385" s="27" t="s">
        <v>1750</v>
      </c>
      <c r="V385" s="27" t="b">
        <f>ISNUMBER(SEARCH(",",F385))</f>
        <v>0</v>
      </c>
    </row>
    <row r="386" spans="1:22" ht="30" x14ac:dyDescent="0.25">
      <c r="A386" s="27" t="str">
        <f>IF(ISBLANK(N386)=TRUE,"Pending","Done")</f>
        <v>Pending</v>
      </c>
      <c r="B386" s="27" t="s">
        <v>2009</v>
      </c>
      <c r="C386" s="27">
        <v>60</v>
      </c>
      <c r="D386" s="27" t="str">
        <f>SUBSTITUTE(TRIM(RIGHT(SUBSTITUTE(IF(RIGHT(B386,1)="/",LEFT(B386,LEN(B386)-1),B386),"/",REPT(" ",LEN(B386))),LEN(B386))),"-"," ")</f>
        <v>6561</v>
      </c>
      <c r="E386" s="27" t="s">
        <v>849</v>
      </c>
      <c r="F386" s="27" t="s">
        <v>2010</v>
      </c>
      <c r="G386" s="27" t="s">
        <v>70</v>
      </c>
      <c r="H386" s="27" t="s">
        <v>2191</v>
      </c>
      <c r="I386" s="27" t="s">
        <v>2191</v>
      </c>
      <c r="J386" s="27">
        <v>6</v>
      </c>
      <c r="K386" s="27" t="s">
        <v>2011</v>
      </c>
      <c r="L386" s="27"/>
      <c r="M386" s="27"/>
      <c r="N386" s="27"/>
      <c r="O386" s="27"/>
      <c r="P386" s="27"/>
      <c r="Q386" s="27" t="str" cm="1">
        <f t="array" ref="Q386">_xlfn.REGEXEXTRACT(B386,"(?&lt;=//)[^/]+")</f>
        <v>www.kink.com</v>
      </c>
      <c r="R386" s="27" t="s">
        <v>685</v>
      </c>
      <c r="S386" s="27" t="s">
        <v>1750</v>
      </c>
      <c r="T386" s="27" t="str" cm="1">
        <f t="array" ref="T386">IF(S386&lt;&gt;"NotApplicable",_xlfn.REGEXEXTRACT(S386,"\d+(?=p)"),"NotApplicable")</f>
        <v>NotApplicable</v>
      </c>
      <c r="U386" s="27" t="s">
        <v>1750</v>
      </c>
      <c r="V386" s="27" t="b">
        <f>ISNUMBER(SEARCH(",",F386))</f>
        <v>0</v>
      </c>
    </row>
    <row r="387" spans="1:22" ht="30" x14ac:dyDescent="0.25">
      <c r="A387" s="27" t="str">
        <f>IF(ISBLANK(N387)=TRUE,"Pending","Done")</f>
        <v>Pending</v>
      </c>
      <c r="B387" s="27" t="s">
        <v>2018</v>
      </c>
      <c r="C387" s="27">
        <v>40</v>
      </c>
      <c r="D387" s="27" t="str">
        <f>SUBSTITUTE(TRIM(RIGHT(SUBSTITUTE(IF(RIGHT(B387,1)="/",LEFT(B387,LEN(B387)-1),B387),"/",REPT(" ",LEN(B387))),LEN(B387))),"-"," ")</f>
        <v>7570</v>
      </c>
      <c r="E387" s="27" t="s">
        <v>849</v>
      </c>
      <c r="F387" s="27" t="s">
        <v>2019</v>
      </c>
      <c r="G387" s="27" t="s">
        <v>70</v>
      </c>
      <c r="H387" s="27" t="s">
        <v>2173</v>
      </c>
      <c r="I387" s="27" t="s">
        <v>2173</v>
      </c>
      <c r="J387" s="27">
        <v>5</v>
      </c>
      <c r="K387" s="27" t="s">
        <v>2020</v>
      </c>
      <c r="L387" s="27"/>
      <c r="M387" s="27"/>
      <c r="N387" s="27"/>
      <c r="O387" s="27"/>
      <c r="P387" s="27"/>
      <c r="Q387" s="27" t="str" cm="1">
        <f t="array" ref="Q387">_xlfn.REGEXEXTRACT(B387,"(?&lt;=//)[^/]+")</f>
        <v>www.kink.com</v>
      </c>
      <c r="R387" s="27" t="s">
        <v>685</v>
      </c>
      <c r="S387" s="27" t="s">
        <v>1750</v>
      </c>
      <c r="T387" s="27" t="str" cm="1">
        <f t="array" ref="T387">IF(S387&lt;&gt;"NotApplicable",_xlfn.REGEXEXTRACT(S387,"\d+(?=p)"),"NotApplicable")</f>
        <v>NotApplicable</v>
      </c>
      <c r="U387" s="27" t="s">
        <v>1750</v>
      </c>
      <c r="V387" s="27" t="b">
        <f>ISNUMBER(SEARCH(",",F387))</f>
        <v>0</v>
      </c>
    </row>
    <row r="388" spans="1:22" ht="30" x14ac:dyDescent="0.25">
      <c r="A388" s="27" t="str">
        <f>IF(ISBLANK(N388)=TRUE,"Pending","Done")</f>
        <v>Pending</v>
      </c>
      <c r="B388" s="27" t="s">
        <v>2046</v>
      </c>
      <c r="C388" s="27">
        <v>84</v>
      </c>
      <c r="D388" s="27" t="str">
        <f>SUBSTITUTE(TRIM(RIGHT(SUBSTITUTE(IF(RIGHT(B388,1)="/",LEFT(B388,LEN(B388)-1),B388),"/",REPT(" ",LEN(B388))),LEN(B388))),"-"," ")</f>
        <v>7131</v>
      </c>
      <c r="E388" s="27" t="s">
        <v>849</v>
      </c>
      <c r="F388" s="27" t="s">
        <v>2047</v>
      </c>
      <c r="G388" s="27" t="s">
        <v>70</v>
      </c>
      <c r="H388" s="27" t="s">
        <v>2207</v>
      </c>
      <c r="I388" s="27" t="s">
        <v>2207</v>
      </c>
      <c r="J388" s="27">
        <v>0</v>
      </c>
      <c r="K388" s="27" t="s">
        <v>1677</v>
      </c>
      <c r="L388" s="27"/>
      <c r="M388" s="27"/>
      <c r="N388" s="27"/>
      <c r="O388" s="27"/>
      <c r="P388" s="27"/>
      <c r="Q388" s="27" t="str" cm="1">
        <f t="array" ref="Q388">_xlfn.REGEXEXTRACT(B388,"(?&lt;=//)[^/]+")</f>
        <v>www.kink.com</v>
      </c>
      <c r="R388" s="27" t="s">
        <v>685</v>
      </c>
      <c r="S388" s="27" t="s">
        <v>1750</v>
      </c>
      <c r="T388" s="27" t="str" cm="1">
        <f t="array" ref="T388">IF(S388&lt;&gt;"NotApplicable",_xlfn.REGEXEXTRACT(S388,"\d+(?=p)"),"NotApplicable")</f>
        <v>NotApplicable</v>
      </c>
      <c r="U388" s="27" t="s">
        <v>1750</v>
      </c>
      <c r="V388" s="27" t="b">
        <f>ISNUMBER(SEARCH(",",F388))</f>
        <v>1</v>
      </c>
    </row>
    <row r="389" spans="1:22" ht="30" x14ac:dyDescent="0.25">
      <c r="A389" s="27" t="str">
        <f>IF(ISBLANK(N389)=TRUE,"Pending","Done")</f>
        <v>Pending</v>
      </c>
      <c r="B389" s="27" t="s">
        <v>1885</v>
      </c>
      <c r="C389" s="27">
        <v>45</v>
      </c>
      <c r="D389" s="27" t="str">
        <f>SUBSTITUTE(TRIM(RIGHT(SUBSTITUTE(IF(RIGHT(B389,1)="/",LEFT(B389,LEN(B389)-1),B389),"/",REPT(" ",LEN(B389))),LEN(B389))),"-"," ")</f>
        <v>katya rodriguez hogtied newcomer bound and tormented in bondage4</v>
      </c>
      <c r="E389" s="27" t="s">
        <v>849</v>
      </c>
      <c r="F389" s="27" t="s">
        <v>1886</v>
      </c>
      <c r="G389" s="27" t="s">
        <v>70</v>
      </c>
      <c r="H389" s="27" t="s">
        <v>2783</v>
      </c>
      <c r="I389" s="27" t="s">
        <v>2783</v>
      </c>
      <c r="J389" s="27">
        <v>0</v>
      </c>
      <c r="K389" s="27" t="s">
        <v>1141</v>
      </c>
      <c r="L389" s="27" t="s">
        <v>2784</v>
      </c>
      <c r="M389" s="27"/>
      <c r="N389" s="27"/>
      <c r="O389" s="27"/>
      <c r="P389" s="27"/>
      <c r="Q389" s="27" t="str" cm="1">
        <f t="array" ref="Q389">_xlfn.REGEXEXTRACT(B389,"(?&lt;=//)[^/]+")</f>
        <v>hcbdsm.com</v>
      </c>
      <c r="R389" s="27" t="s">
        <v>685</v>
      </c>
      <c r="S389" s="27" t="s">
        <v>1750</v>
      </c>
      <c r="T389" s="27" t="str" cm="1">
        <f t="array" ref="T389">IF(S389&lt;&gt;"NotApplicable",_xlfn.REGEXEXTRACT(S389,"\d+(?=p)"),"NotApplicable")</f>
        <v>NotApplicable</v>
      </c>
      <c r="U389" s="27" t="s">
        <v>1750</v>
      </c>
      <c r="V389" s="27" t="b">
        <f>ISNUMBER(SEARCH(",",F389))</f>
        <v>0</v>
      </c>
    </row>
    <row r="390" spans="1:22" ht="45" x14ac:dyDescent="0.25">
      <c r="A390" s="27" t="str">
        <f>IF(ISBLANK(N390)=TRUE,"Pending","Done")</f>
        <v>Pending</v>
      </c>
      <c r="B390" s="27" t="s">
        <v>2008</v>
      </c>
      <c r="C390" s="27">
        <v>45</v>
      </c>
      <c r="D390" s="27" t="str">
        <f>SUBSTITUTE(TRIM(RIGHT(SUBSTITUTE(IF(RIGHT(B390,1)="/",LEFT(B390,LEN(B390)-1),B390),"/",REPT(" ",LEN(B390))),LEN(B390))),"-"," ")</f>
        <v>red head with massive huge tits then it must be berlin we love a girl who loves bondage</v>
      </c>
      <c r="E390" s="27" t="s">
        <v>849</v>
      </c>
      <c r="F390" s="27" t="s">
        <v>80</v>
      </c>
      <c r="G390" s="27" t="s">
        <v>70</v>
      </c>
      <c r="H390" s="27" t="s">
        <v>2786</v>
      </c>
      <c r="I390" s="27" t="s">
        <v>2785</v>
      </c>
      <c r="J390" s="27">
        <v>0</v>
      </c>
      <c r="K390" s="27" t="s">
        <v>1141</v>
      </c>
      <c r="L390" s="27"/>
      <c r="M390" s="27"/>
      <c r="N390" s="27"/>
      <c r="O390" s="27"/>
      <c r="P390" s="27"/>
      <c r="Q390" s="27" t="str" cm="1">
        <f t="array" ref="Q390">_xlfn.REGEXEXTRACT(B390,"(?&lt;=//)[^/]+")</f>
        <v>bdsmmansion.com</v>
      </c>
      <c r="R390" s="27" t="s">
        <v>685</v>
      </c>
      <c r="S390" s="27" t="s">
        <v>1750</v>
      </c>
      <c r="T390" s="27" t="str" cm="1">
        <f t="array" ref="T390">IF(S390&lt;&gt;"NotApplicable",_xlfn.REGEXEXTRACT(S390,"\d+(?=p)"),"NotApplicable")</f>
        <v>NotApplicable</v>
      </c>
      <c r="U390" s="27" t="s">
        <v>1750</v>
      </c>
      <c r="V390" s="27" t="b">
        <f>ISNUMBER(SEARCH(",",F390))</f>
        <v>0</v>
      </c>
    </row>
    <row r="391" spans="1:22" ht="30" x14ac:dyDescent="0.25">
      <c r="A391" s="27" t="str">
        <f>IF(ISBLANK(N391)=TRUE,"Pending","Done")</f>
        <v>Pending</v>
      </c>
      <c r="B391" s="27" t="s">
        <v>1552</v>
      </c>
      <c r="C391" s="27">
        <v>47</v>
      </c>
      <c r="D391" s="27" t="str">
        <f>SUBSTITUTE(TRIM(RIGHT(SUBSTITUTE(IF(RIGHT(B391,1)="/",LEFT(B391,LEN(B391)-1),B391),"/",REPT(" ",LEN(B391))),LEN(B391))),"-"," ")</f>
        <v>ashli orion cums back for more brutal ties only on hogtied3</v>
      </c>
      <c r="E391" s="27" t="s">
        <v>849</v>
      </c>
      <c r="F391" s="27" t="s">
        <v>1581</v>
      </c>
      <c r="G391" s="27" t="s">
        <v>70</v>
      </c>
      <c r="H391" s="27" t="s">
        <v>2788</v>
      </c>
      <c r="I391" s="27" t="s">
        <v>2787</v>
      </c>
      <c r="J391" s="27">
        <v>6</v>
      </c>
      <c r="K391" s="27" t="s">
        <v>2789</v>
      </c>
      <c r="L391" s="27"/>
      <c r="M391" s="27"/>
      <c r="N391" s="27"/>
      <c r="O391" s="27"/>
      <c r="P391" s="27" t="s">
        <v>1605</v>
      </c>
      <c r="Q391" s="27" t="str" cm="1">
        <f t="array" ref="Q391">_xlfn.REGEXEXTRACT(B391,"(?&lt;=//)[^/]+")</f>
        <v>hcbdsm.com</v>
      </c>
      <c r="R391" s="27" t="s">
        <v>685</v>
      </c>
      <c r="S391" s="27" t="s">
        <v>1750</v>
      </c>
      <c r="T391" s="27" t="str" cm="1">
        <f t="array" ref="T391">IF(S391&lt;&gt;"NotApplicable",_xlfn.REGEXEXTRACT(S391,"\d+(?=p)"),"NotApplicable")</f>
        <v>NotApplicable</v>
      </c>
      <c r="U391" s="27" t="s">
        <v>1750</v>
      </c>
      <c r="V391" s="27" t="b">
        <f>ISNUMBER(SEARCH(",",F391))</f>
        <v>0</v>
      </c>
    </row>
    <row r="392" spans="1:22" ht="45" x14ac:dyDescent="0.25">
      <c r="A392" s="27" t="str">
        <f>IF(ISBLANK(N392)=TRUE,"Pending","Done")</f>
        <v>Pending</v>
      </c>
      <c r="B392" s="27" t="s">
        <v>1553</v>
      </c>
      <c r="C392" s="27">
        <v>47</v>
      </c>
      <c r="D392" s="27" t="str">
        <f>SUBSTITUTE(TRIM(RIGHT(SUBSTITUTE(IF(RIGHT(B392,1)="/",LEFT(B392,LEN(B392)-1),B392),"/",REPT(" ",LEN(B392))),LEN(B392))),"-"," ")</f>
        <v>big tits brutal bondage extreme corporal punishment and squirting orgasms4</v>
      </c>
      <c r="E392" s="27" t="s">
        <v>849</v>
      </c>
      <c r="F392" s="27" t="s">
        <v>1582</v>
      </c>
      <c r="G392" s="27" t="s">
        <v>70</v>
      </c>
      <c r="H392" s="27" t="s">
        <v>2791</v>
      </c>
      <c r="I392" s="27" t="s">
        <v>2790</v>
      </c>
      <c r="J392" s="27" t="s">
        <v>1750</v>
      </c>
      <c r="K392" s="27" t="s">
        <v>1750</v>
      </c>
      <c r="L392" s="27"/>
      <c r="M392" s="27"/>
      <c r="N392" s="27"/>
      <c r="O392" s="27"/>
      <c r="P392" s="27" t="s">
        <v>1144</v>
      </c>
      <c r="Q392" s="27" t="str" cm="1">
        <f t="array" ref="Q392">_xlfn.REGEXEXTRACT(B392,"(?&lt;=//)[^/]+")</f>
        <v>hcbdsm.com</v>
      </c>
      <c r="R392" s="27" t="s">
        <v>685</v>
      </c>
      <c r="S392" s="27" t="s">
        <v>1750</v>
      </c>
      <c r="T392" s="27" t="str" cm="1">
        <f t="array" ref="T392">IF(S392&lt;&gt;"NotApplicable",_xlfn.REGEXEXTRACT(S392,"\d+(?=p)"),"NotApplicable")</f>
        <v>NotApplicable</v>
      </c>
      <c r="U392" s="27" t="s">
        <v>1750</v>
      </c>
      <c r="V392" s="27" t="b">
        <f>ISNUMBER(SEARCH(",",F392))</f>
        <v>0</v>
      </c>
    </row>
    <row r="393" spans="1:22" ht="30" x14ac:dyDescent="0.25">
      <c r="A393" s="27" t="str">
        <f>IF(ISBLANK(N393)=TRUE,"Pending","Done")</f>
        <v>Pending</v>
      </c>
      <c r="B393" s="27" t="s">
        <v>1756</v>
      </c>
      <c r="C393" s="27">
        <v>47</v>
      </c>
      <c r="D393" s="27" t="str">
        <f>SUBSTITUTE(TRIM(RIGHT(SUBSTITUTE(IF(RIGHT(B393,1)="/",LEFT(B393,LEN(B393)-1),B393),"/",REPT(" ",LEN(B393))),LEN(B393))),"-"," ")</f>
        <v>harmony wonder 19 year old tormented and cums in grueling bondage</v>
      </c>
      <c r="E393" s="27" t="s">
        <v>849</v>
      </c>
      <c r="F393" s="27" t="s">
        <v>1757</v>
      </c>
      <c r="G393" s="27" t="s">
        <v>70</v>
      </c>
      <c r="H393" s="27" t="s">
        <v>2792</v>
      </c>
      <c r="I393" s="27" t="s">
        <v>2792</v>
      </c>
      <c r="J393" s="27" t="s">
        <v>1750</v>
      </c>
      <c r="K393" s="27" t="s">
        <v>1750</v>
      </c>
      <c r="L393" s="27" t="s">
        <v>2784</v>
      </c>
      <c r="M393" s="27"/>
      <c r="N393" s="27"/>
      <c r="O393" s="27"/>
      <c r="P393" s="27" t="s">
        <v>1758</v>
      </c>
      <c r="Q393" s="27" t="str" cm="1">
        <f t="array" ref="Q393">_xlfn.REGEXEXTRACT(B393,"(?&lt;=//)[^/]+")</f>
        <v>bdsmstreak.com</v>
      </c>
      <c r="R393" s="27" t="s">
        <v>685</v>
      </c>
      <c r="S393" s="27" t="s">
        <v>1750</v>
      </c>
      <c r="T393" s="27" t="str" cm="1">
        <f t="array" ref="T393">IF(S393&lt;&gt;"NotApplicable",_xlfn.REGEXEXTRACT(S393,"\d+(?=p)"),"NotApplicable")</f>
        <v>NotApplicable</v>
      </c>
      <c r="U393" s="27" t="s">
        <v>1750</v>
      </c>
      <c r="V393" s="27" t="b">
        <f>ISNUMBER(SEARCH(",",F393))</f>
        <v>0</v>
      </c>
    </row>
    <row r="394" spans="1:22" ht="45" x14ac:dyDescent="0.25">
      <c r="A394" s="27" t="str">
        <f>IF(ISBLANK(N394)=TRUE,"Pending","Done")</f>
        <v>Pending</v>
      </c>
      <c r="B394" s="27" t="s">
        <v>1801</v>
      </c>
      <c r="C394" s="27">
        <v>47</v>
      </c>
      <c r="D394" s="27" t="str">
        <f>SUBSTITUTE(TRIM(RIGHT(SUBSTITUTE(IF(RIGHT(B394,1)="/",LEFT(B394,LEN(B394)-1),B394),"/",REPT(" ",LEN(B394))),LEN(B394))),"-"," ")</f>
        <v>dani daniels in brutal bondage tormented and made to cum uncontrollably</v>
      </c>
      <c r="E394" s="27" t="s">
        <v>849</v>
      </c>
      <c r="F394" s="27" t="s">
        <v>446</v>
      </c>
      <c r="G394" s="27" t="s">
        <v>70</v>
      </c>
      <c r="H394" s="27" t="s">
        <v>2794</v>
      </c>
      <c r="I394" s="27" t="s">
        <v>2793</v>
      </c>
      <c r="J394" s="27">
        <v>4</v>
      </c>
      <c r="K394" s="27" t="s">
        <v>1607</v>
      </c>
      <c r="L394" s="27"/>
      <c r="M394" s="27"/>
      <c r="N394" s="27"/>
      <c r="O394" s="27"/>
      <c r="P394" s="27"/>
      <c r="Q394" s="27" t="str" cm="1">
        <f t="array" ref="Q394">_xlfn.REGEXEXTRACT(B394,"(?&lt;=//)[^/]+")</f>
        <v>heavyfetish.com</v>
      </c>
      <c r="R394" s="27" t="s">
        <v>685</v>
      </c>
      <c r="S394" s="27" t="s">
        <v>1750</v>
      </c>
      <c r="T394" s="27" t="str" cm="1">
        <f t="array" ref="T394">IF(S394&lt;&gt;"NotApplicable",_xlfn.REGEXEXTRACT(S394,"\d+(?=p)"),"NotApplicable")</f>
        <v>NotApplicable</v>
      </c>
      <c r="U394" s="27" t="s">
        <v>1750</v>
      </c>
      <c r="V394" s="27" t="b">
        <f>ISNUMBER(SEARCH(",",F394))</f>
        <v>0</v>
      </c>
    </row>
    <row r="395" spans="1:22" ht="45" x14ac:dyDescent="0.25">
      <c r="A395" s="27" t="str">
        <f>IF(ISBLANK(N395)=TRUE,"Pending","Done")</f>
        <v>Pending</v>
      </c>
      <c r="B395" s="27" t="s">
        <v>1556</v>
      </c>
      <c r="C395" s="27">
        <v>49</v>
      </c>
      <c r="D395" s="27" t="str">
        <f>SUBSTITUTE(TRIM(RIGHT(SUBSTITUTE(IF(RIGHT(B395,1)="/",LEFT(B395,LEN(B395)-1),B395),"/",REPT(" ",LEN(B395))),LEN(B395))),"-"," ")</f>
        <v>berlin and her massive 32f breasts visit for her first ever hogtied shoot</v>
      </c>
      <c r="E395" s="27" t="s">
        <v>849</v>
      </c>
      <c r="F395" s="27" t="s">
        <v>80</v>
      </c>
      <c r="G395" s="27" t="s">
        <v>70</v>
      </c>
      <c r="H395" s="27" t="s">
        <v>2796</v>
      </c>
      <c r="I395" s="27" t="s">
        <v>2795</v>
      </c>
      <c r="J395" s="27" t="s">
        <v>1750</v>
      </c>
      <c r="K395" s="27" t="s">
        <v>1750</v>
      </c>
      <c r="L395" s="27"/>
      <c r="M395" s="27"/>
      <c r="N395" s="27"/>
      <c r="O395" s="27"/>
      <c r="P395" s="27" t="s">
        <v>1606</v>
      </c>
      <c r="Q395" s="27" t="str" cm="1">
        <f t="array" ref="Q395">_xlfn.REGEXEXTRACT(B395,"(?&lt;=//)[^/]+")</f>
        <v>hcbdsm.com</v>
      </c>
      <c r="R395" s="27" t="s">
        <v>685</v>
      </c>
      <c r="S395" s="27" t="s">
        <v>1750</v>
      </c>
      <c r="T395" s="27" t="str" cm="1">
        <f t="array" ref="T395">IF(S395&lt;&gt;"NotApplicable",_xlfn.REGEXEXTRACT(S395,"\d+(?=p)"),"NotApplicable")</f>
        <v>NotApplicable</v>
      </c>
      <c r="U395" s="27" t="s">
        <v>1750</v>
      </c>
      <c r="V395" s="27" t="b">
        <f>ISNUMBER(SEARCH(",",F395))</f>
        <v>0</v>
      </c>
    </row>
    <row r="396" spans="1:22" ht="30" x14ac:dyDescent="0.25">
      <c r="A396" s="27" t="str">
        <f>IF(ISBLANK(N396)=TRUE,"Pending","Done")</f>
        <v>Pending</v>
      </c>
      <c r="B396" s="27" t="s">
        <v>1808</v>
      </c>
      <c r="C396" s="27">
        <v>50</v>
      </c>
      <c r="D396" s="27" t="str">
        <f>SUBSTITUTE(TRIM(RIGHT(SUBSTITUTE(IF(RIGHT(B396,1)="/",LEFT(B396,LEN(B396)-1),B396),"/",REPT(" ",LEN(B396))),LEN(B396))),"-"," ")</f>
        <v>dolly s innocence lost3</v>
      </c>
      <c r="E396" s="27" t="s">
        <v>849</v>
      </c>
      <c r="F396" s="27" t="s">
        <v>1809</v>
      </c>
      <c r="G396" s="27" t="s">
        <v>70</v>
      </c>
      <c r="H396" s="27" t="s">
        <v>2799</v>
      </c>
      <c r="I396" s="27" t="s">
        <v>2799</v>
      </c>
      <c r="J396" s="27">
        <v>0</v>
      </c>
      <c r="K396" s="27" t="s">
        <v>1141</v>
      </c>
      <c r="L396" s="27"/>
      <c r="M396" s="27"/>
      <c r="N396" s="27"/>
      <c r="O396" s="27"/>
      <c r="P396" s="27"/>
      <c r="Q396" s="27" t="str" cm="1">
        <f t="array" ref="Q396">_xlfn.REGEXEXTRACT(B396,"(?&lt;=//)[^/]+")</f>
        <v>hcbdsm.com</v>
      </c>
      <c r="R396" s="27" t="s">
        <v>685</v>
      </c>
      <c r="S396" s="27" t="s">
        <v>1750</v>
      </c>
      <c r="T396" s="27" t="str" cm="1">
        <f t="array" ref="T396">IF(S396&lt;&gt;"NotApplicable",_xlfn.REGEXEXTRACT(S396,"\d+(?=p)"),"NotApplicable")</f>
        <v>NotApplicable</v>
      </c>
      <c r="U396" s="27" t="s">
        <v>1750</v>
      </c>
      <c r="V396" s="27" t="b">
        <f>ISNUMBER(SEARCH(",",F396))</f>
        <v>0</v>
      </c>
    </row>
    <row r="397" spans="1:22" ht="30" x14ac:dyDescent="0.25">
      <c r="A397" s="27" t="str">
        <f>IF(ISBLANK(N397)=TRUE,"Pending","Done")</f>
        <v>Pending</v>
      </c>
      <c r="B397" s="27" t="s">
        <v>2798</v>
      </c>
      <c r="C397" s="27">
        <v>50</v>
      </c>
      <c r="D397" s="27" t="str">
        <f>SUBSTITUTE(TRIM(RIGHT(SUBSTITUTE(IF(RIGHT(B397,1)="/",LEFT(B397,LEN(B397)-1),B397),"/",REPT(" ",LEN(B397))),LEN(B397))),"-"," ")</f>
        <v>jenni lee and jade marxxx</v>
      </c>
      <c r="E397" s="27" t="s">
        <v>849</v>
      </c>
      <c r="F397" s="27" t="s">
        <v>1875</v>
      </c>
      <c r="G397" s="27" t="s">
        <v>70</v>
      </c>
      <c r="H397" s="27" t="s">
        <v>2797</v>
      </c>
      <c r="I397" s="27" t="s">
        <v>2797</v>
      </c>
      <c r="J397" s="27">
        <v>0</v>
      </c>
      <c r="K397" s="27" t="s">
        <v>1141</v>
      </c>
      <c r="L397" s="27" t="s">
        <v>1677</v>
      </c>
      <c r="M397" s="27"/>
      <c r="N397" s="27"/>
      <c r="O397" s="27"/>
      <c r="P397" s="27"/>
      <c r="Q397" s="27" t="str" cm="1">
        <f t="array" ref="Q397">_xlfn.REGEXEXTRACT(B397,"(?&lt;=//)[^/]+")</f>
        <v>bdsmstreak.com</v>
      </c>
      <c r="R397" s="27" t="s">
        <v>685</v>
      </c>
      <c r="S397" s="27" t="s">
        <v>1750</v>
      </c>
      <c r="T397" s="27" t="str" cm="1">
        <f t="array" ref="T397">IF(S397&lt;&gt;"NotApplicable",_xlfn.REGEXEXTRACT(S397,"\d+(?=p)"),"NotApplicable")</f>
        <v>NotApplicable</v>
      </c>
      <c r="U397" s="27" t="s">
        <v>1750</v>
      </c>
      <c r="V397" s="27" t="b">
        <f>ISNUMBER(SEARCH(",",F397))</f>
        <v>1</v>
      </c>
    </row>
    <row r="398" spans="1:22" ht="30" x14ac:dyDescent="0.25">
      <c r="A398" s="27" t="str">
        <f>IF(ISBLANK(N398)=TRUE,"Pending","Done")</f>
        <v>Pending</v>
      </c>
      <c r="B398" s="27" t="s">
        <v>1629</v>
      </c>
      <c r="C398" s="27">
        <v>51</v>
      </c>
      <c r="D398" s="27" t="str">
        <f>SUBSTITUTE(TRIM(RIGHT(SUBSTITUTE(IF(RIGHT(B398,1)="/",LEFT(B398,LEN(B398)-1),B398),"/",REPT(" ",LEN(B398))),LEN(B398))),"-"," ")</f>
        <v>buff milf cherie deville submits to rope bondage and unwilling orgasms</v>
      </c>
      <c r="E398" s="27" t="s">
        <v>849</v>
      </c>
      <c r="F398" s="27" t="s">
        <v>185</v>
      </c>
      <c r="G398" s="27" t="s">
        <v>70</v>
      </c>
      <c r="H398" s="27" t="s">
        <v>2801</v>
      </c>
      <c r="I398" s="27" t="s">
        <v>2800</v>
      </c>
      <c r="J398" s="27">
        <v>6</v>
      </c>
      <c r="K398" s="27" t="s">
        <v>1606</v>
      </c>
      <c r="L398" s="27"/>
      <c r="M398" s="27"/>
      <c r="N398" s="27"/>
      <c r="O398" s="27"/>
      <c r="P398" s="27" t="s">
        <v>1144</v>
      </c>
      <c r="Q398" s="27" t="str" cm="1">
        <f t="array" ref="Q398">_xlfn.REGEXEXTRACT(B398,"(?&lt;=//)[^/]+")</f>
        <v>bdsmstreak.com</v>
      </c>
      <c r="R398" s="27" t="s">
        <v>685</v>
      </c>
      <c r="S398" s="27" t="s">
        <v>1750</v>
      </c>
      <c r="T398" s="27" t="str" cm="1">
        <f t="array" ref="T398">IF(S398&lt;&gt;"NotApplicable",_xlfn.REGEXEXTRACT(S398,"\d+(?=p)"),"NotApplicable")</f>
        <v>NotApplicable</v>
      </c>
      <c r="U398" s="27" t="s">
        <v>1750</v>
      </c>
      <c r="V398" s="27" t="b">
        <f>ISNUMBER(SEARCH(",",F398))</f>
        <v>0</v>
      </c>
    </row>
    <row r="399" spans="1:22" ht="30" x14ac:dyDescent="0.25">
      <c r="A399" s="27" t="str">
        <f>IF(ISBLANK(N399)=TRUE,"Pending","Done")</f>
        <v>Pending</v>
      </c>
      <c r="B399" s="27" t="s">
        <v>1658</v>
      </c>
      <c r="C399" s="27">
        <v>53</v>
      </c>
      <c r="D399" s="27" t="str">
        <f>SUBSTITUTE(TRIM(RIGHT(SUBSTITUTE(IF(RIGHT(B399,1)="/",LEFT(B399,LEN(B399)-1),B399),"/",REPT(" ",LEN(B399))),LEN(B399))),"-"," ")</f>
        <v>hot girl next door tomboy gets bent in unforgiving bondage</v>
      </c>
      <c r="E399" s="27" t="s">
        <v>849</v>
      </c>
      <c r="F399" s="27" t="s">
        <v>1659</v>
      </c>
      <c r="G399" s="27" t="s">
        <v>70</v>
      </c>
      <c r="H399" s="27" t="s">
        <v>2803</v>
      </c>
      <c r="I399" s="27" t="s">
        <v>2802</v>
      </c>
      <c r="J399" s="27" t="s">
        <v>1750</v>
      </c>
      <c r="K399" s="27" t="s">
        <v>1750</v>
      </c>
      <c r="L399" s="27"/>
      <c r="M399" s="27"/>
      <c r="N399" s="27"/>
      <c r="O399" s="27"/>
      <c r="P399" s="27" t="s">
        <v>1660</v>
      </c>
      <c r="Q399" s="27" t="str" cm="1">
        <f t="array" ref="Q399">_xlfn.REGEXEXTRACT(B399,"(?&lt;=//)[^/]+")</f>
        <v>bdsmstreak.com</v>
      </c>
      <c r="R399" s="27" t="s">
        <v>685</v>
      </c>
      <c r="S399" s="27" t="s">
        <v>1750</v>
      </c>
      <c r="T399" s="27" t="str" cm="1">
        <f t="array" ref="T399">IF(S399&lt;&gt;"NotApplicable",_xlfn.REGEXEXTRACT(S399,"\d+(?=p)"),"NotApplicable")</f>
        <v>NotApplicable</v>
      </c>
      <c r="U399" s="27" t="s">
        <v>1750</v>
      </c>
      <c r="V399" s="27" t="b">
        <f>ISNUMBER(SEARCH(",",F399))</f>
        <v>0</v>
      </c>
    </row>
    <row r="400" spans="1:22" ht="30" x14ac:dyDescent="0.25">
      <c r="A400" s="27" t="str">
        <f>IF(ISBLANK(N400)=TRUE,"Pending","Done")</f>
        <v>Pending</v>
      </c>
      <c r="B400" s="27" t="s">
        <v>1631</v>
      </c>
      <c r="C400" s="27">
        <v>54</v>
      </c>
      <c r="D400" s="27" t="str">
        <f>SUBSTITUTE(TRIM(RIGHT(SUBSTITUTE(IF(RIGHT(B400,1)="/",LEFT(B400,LEN(B400)-1),B400),"/",REPT(" ",LEN(B400))),LEN(B400))),"-"," ")</f>
        <v>candy manson</v>
      </c>
      <c r="E400" s="27" t="s">
        <v>849</v>
      </c>
      <c r="F400" s="27" t="s">
        <v>1233</v>
      </c>
      <c r="G400" s="27" t="s">
        <v>70</v>
      </c>
      <c r="H400" s="27" t="s">
        <v>2804</v>
      </c>
      <c r="I400" s="27" t="s">
        <v>2781</v>
      </c>
      <c r="J400" s="27" t="s">
        <v>1750</v>
      </c>
      <c r="K400" s="27" t="s">
        <v>1750</v>
      </c>
      <c r="L400" s="27"/>
      <c r="M400" s="27"/>
      <c r="N400" s="27"/>
      <c r="O400" s="27"/>
      <c r="P400" s="27" t="s">
        <v>1605</v>
      </c>
      <c r="Q400" s="27" t="str" cm="1">
        <f t="array" ref="Q400">_xlfn.REGEXEXTRACT(B400,"(?&lt;=//)[^/]+")</f>
        <v>bdsmstreak.com</v>
      </c>
      <c r="R400" s="27" t="s">
        <v>685</v>
      </c>
      <c r="S400" s="27" t="s">
        <v>1750</v>
      </c>
      <c r="T400" s="27" t="str" cm="1">
        <f t="array" ref="T400">IF(S400&lt;&gt;"NotApplicable",_xlfn.REGEXEXTRACT(S400,"\d+(?=p)"),"NotApplicable")</f>
        <v>NotApplicable</v>
      </c>
      <c r="U400" s="27" t="s">
        <v>1750</v>
      </c>
      <c r="V400" s="27" t="b">
        <f>ISNUMBER(SEARCH(",",F400))</f>
        <v>0</v>
      </c>
    </row>
    <row r="401" spans="1:22" ht="30" x14ac:dyDescent="0.25">
      <c r="A401" s="27" t="str">
        <f>IF(ISBLANK(N401)=TRUE,"Pending","Done")</f>
        <v>Pending</v>
      </c>
      <c r="B401" s="27" t="s">
        <v>1560</v>
      </c>
      <c r="C401" s="27">
        <v>55</v>
      </c>
      <c r="D401" s="27" t="str">
        <f>SUBSTITUTE(TRIM(RIGHT(SUBSTITUTE(IF(RIGHT(B401,1)="/",LEFT(B401,LEN(B401)-1),B401),"/",REPT(" ",LEN(B401))),LEN(B401))),"-"," ")</f>
        <v>ariel x extreme bondage brutal torment and squirting orgasms</v>
      </c>
      <c r="E401" s="27" t="s">
        <v>849</v>
      </c>
      <c r="F401" s="27" t="s">
        <v>1577</v>
      </c>
      <c r="G401" s="27" t="s">
        <v>70</v>
      </c>
      <c r="H401" s="27" t="s">
        <v>2806</v>
      </c>
      <c r="I401" s="27" t="s">
        <v>2805</v>
      </c>
      <c r="J401" s="27" t="s">
        <v>1750</v>
      </c>
      <c r="K401" s="27" t="s">
        <v>1750</v>
      </c>
      <c r="L401" s="27"/>
      <c r="M401" s="27"/>
      <c r="N401" s="27"/>
      <c r="O401" s="27"/>
      <c r="P401" s="27" t="s">
        <v>1607</v>
      </c>
      <c r="Q401" s="27" t="str" cm="1">
        <f t="array" ref="Q401">_xlfn.REGEXEXTRACT(B401,"(?&lt;=//)[^/]+")</f>
        <v>bdsmstreak.com</v>
      </c>
      <c r="R401" s="27" t="s">
        <v>685</v>
      </c>
      <c r="S401" s="27" t="s">
        <v>1750</v>
      </c>
      <c r="T401" s="27" t="str" cm="1">
        <f t="array" ref="T401">IF(S401&lt;&gt;"NotApplicable",_xlfn.REGEXEXTRACT(S401,"\d+(?=p)"),"NotApplicable")</f>
        <v>NotApplicable</v>
      </c>
      <c r="U401" s="27" t="s">
        <v>1750</v>
      </c>
      <c r="V401" s="27" t="b">
        <f>ISNUMBER(SEARCH(",",F401))</f>
        <v>0</v>
      </c>
    </row>
    <row r="402" spans="1:22" ht="30" x14ac:dyDescent="0.25">
      <c r="A402" s="27" t="str">
        <f>IF(ISBLANK(N402)=TRUE,"Pending","Done")</f>
        <v>Pending</v>
      </c>
      <c r="B402" s="27" t="s">
        <v>1884</v>
      </c>
      <c r="C402" s="27">
        <v>56</v>
      </c>
      <c r="D402" s="27" t="str">
        <f>SUBSTITUTE(TRIM(RIGHT(SUBSTITUTE(IF(RIGHT(B402,1)="/",LEFT(B402,LEN(B402)-1),B402),"/",REPT(" ",LEN(B402))),LEN(B402))),"-"," ")</f>
        <v>katie summers tormented cunt</v>
      </c>
      <c r="E402" s="27" t="s">
        <v>849</v>
      </c>
      <c r="F402" s="27" t="s">
        <v>1645</v>
      </c>
      <c r="G402" s="27" t="s">
        <v>70</v>
      </c>
      <c r="H402" s="27" t="s">
        <v>2782</v>
      </c>
      <c r="I402" s="27" t="s">
        <v>2782</v>
      </c>
      <c r="J402" s="27">
        <v>6</v>
      </c>
      <c r="K402" s="27" t="s">
        <v>2807</v>
      </c>
      <c r="L402" s="27"/>
      <c r="M402" s="27"/>
      <c r="N402" s="27"/>
      <c r="O402" s="27"/>
      <c r="P402" s="27"/>
      <c r="Q402" s="27" t="str" cm="1">
        <f t="array" ref="Q402">_xlfn.REGEXEXTRACT(B402,"(?&lt;=//)[^/]+")</f>
        <v>bdsmstreak.com</v>
      </c>
      <c r="R402" s="27" t="s">
        <v>685</v>
      </c>
      <c r="S402" s="27" t="s">
        <v>1750</v>
      </c>
      <c r="T402" s="27" t="str" cm="1">
        <f t="array" ref="T402">IF(S402&lt;&gt;"NotApplicable",_xlfn.REGEXEXTRACT(S402,"\d+(?=p)"),"NotApplicable")</f>
        <v>NotApplicable</v>
      </c>
      <c r="U402" s="27" t="s">
        <v>1750</v>
      </c>
      <c r="V402" s="27" t="b">
        <f>ISNUMBER(SEARCH(",",F402))</f>
        <v>0</v>
      </c>
    </row>
    <row r="403" spans="1:22" ht="30" x14ac:dyDescent="0.25">
      <c r="A403" s="27" t="str">
        <f>IF(ISBLANK(N403)=TRUE,"Pending","Done")</f>
        <v>Pending</v>
      </c>
      <c r="B403" s="27" t="s">
        <v>1835</v>
      </c>
      <c r="C403" s="27">
        <v>58</v>
      </c>
      <c r="D403" s="27" t="str">
        <f>SUBSTITUTE(TRIM(RIGHT(SUBSTITUTE(IF(RIGHT(B403,1)="/",LEFT(B403,LEN(B403)-1),B403),"/",REPT(" ",LEN(B403))),LEN(B403))),"-"," ")</f>
        <v>felony amazing milf squirter3</v>
      </c>
      <c r="E403" s="27" t="s">
        <v>849</v>
      </c>
      <c r="F403" s="27" t="s">
        <v>734</v>
      </c>
      <c r="G403" s="27" t="s">
        <v>70</v>
      </c>
      <c r="H403" s="27" t="s">
        <v>2809</v>
      </c>
      <c r="I403" s="27" t="s">
        <v>2808</v>
      </c>
      <c r="J403" s="27">
        <v>8</v>
      </c>
      <c r="K403" s="27" t="s">
        <v>1836</v>
      </c>
      <c r="L403" s="27"/>
      <c r="M403" s="27"/>
      <c r="N403" s="27"/>
      <c r="O403" s="27"/>
      <c r="P403" s="27"/>
      <c r="Q403" s="27" t="str" cm="1">
        <f t="array" ref="Q403">_xlfn.REGEXEXTRACT(B403,"(?&lt;=//)[^/]+")</f>
        <v>hcbdsm.com</v>
      </c>
      <c r="R403" s="27" t="s">
        <v>685</v>
      </c>
      <c r="S403" s="27" t="s">
        <v>1750</v>
      </c>
      <c r="T403" s="27" t="str" cm="1">
        <f t="array" ref="T403">IF(S403&lt;&gt;"NotApplicable",_xlfn.REGEXEXTRACT(S403,"\d+(?=p)"),"NotApplicable")</f>
        <v>NotApplicable</v>
      </c>
      <c r="U403" s="27" t="s">
        <v>1750</v>
      </c>
      <c r="V403" s="27" t="b">
        <f>ISNUMBER(SEARCH(",",F403))</f>
        <v>0</v>
      </c>
    </row>
    <row r="404" spans="1:22" ht="30" x14ac:dyDescent="0.25">
      <c r="A404" s="27" t="str">
        <f>IF(ISBLANK(N404)=TRUE,"Pending","Done")</f>
        <v>Pending</v>
      </c>
      <c r="B404" s="27" t="s">
        <v>1825</v>
      </c>
      <c r="C404" s="27">
        <v>58</v>
      </c>
      <c r="D404" s="27" t="str">
        <f>SUBSTITUTE(TRIM(RIGHT(SUBSTITUTE(IF(RIGHT(B404,1)="/",LEFT(B404,LEN(B404)-1),B404),"/",REPT(" ",LEN(B404))),LEN(B404))),"-"," ")</f>
        <v>extreme bondage brutal torment and intense orgasm denial3</v>
      </c>
      <c r="E404" s="27" t="s">
        <v>849</v>
      </c>
      <c r="F404" s="27" t="s">
        <v>1826</v>
      </c>
      <c r="G404" s="27" t="s">
        <v>70</v>
      </c>
      <c r="H404" s="27" t="s">
        <v>2811</v>
      </c>
      <c r="I404" s="27" t="s">
        <v>2810</v>
      </c>
      <c r="J404" s="27">
        <v>0</v>
      </c>
      <c r="K404" s="27" t="s">
        <v>1141</v>
      </c>
      <c r="L404" s="27"/>
      <c r="M404" s="27"/>
      <c r="N404" s="27"/>
      <c r="O404" s="27"/>
      <c r="P404" s="27"/>
      <c r="Q404" s="27" t="str" cm="1">
        <f t="array" ref="Q404">_xlfn.REGEXEXTRACT(B404,"(?&lt;=//)[^/]+")</f>
        <v>hcbdsm.com</v>
      </c>
      <c r="R404" s="27" t="s">
        <v>685</v>
      </c>
      <c r="S404" s="27" t="s">
        <v>1750</v>
      </c>
      <c r="T404" s="27" t="str" cm="1">
        <f t="array" ref="T404">IF(S404&lt;&gt;"NotApplicable",_xlfn.REGEXEXTRACT(S404,"\d+(?=p)"),"NotApplicable")</f>
        <v>NotApplicable</v>
      </c>
      <c r="U404" s="27" t="s">
        <v>1750</v>
      </c>
      <c r="V404" s="27" t="b">
        <f>ISNUMBER(SEARCH(",",F404))</f>
        <v>0</v>
      </c>
    </row>
    <row r="405" spans="1:22" ht="30" x14ac:dyDescent="0.25">
      <c r="A405" s="27" t="str">
        <f>IF(ISBLANK(N405)=TRUE,"Pending","Done")</f>
        <v>Pending</v>
      </c>
      <c r="B405" s="27" t="s">
        <v>1624</v>
      </c>
      <c r="C405" s="27">
        <v>59</v>
      </c>
      <c r="D405" s="27" t="str">
        <f>SUBSTITUTE(TRIM(RIGHT(SUBSTITUTE(IF(RIGHT(B405,1)="/",LEFT(B405,LEN(B405)-1),B405),"/",REPT(" ",LEN(B405))),LEN(B405))),"-"," ")</f>
        <v>blonde fuck slut squeals and begs to cum</v>
      </c>
      <c r="E405" s="27" t="s">
        <v>849</v>
      </c>
      <c r="F405" s="27" t="s">
        <v>1640</v>
      </c>
      <c r="G405" s="27" t="s">
        <v>70</v>
      </c>
      <c r="H405" s="27" t="s">
        <v>2812</v>
      </c>
      <c r="I405" s="27" t="s">
        <v>2812</v>
      </c>
      <c r="J405" s="27" t="s">
        <v>1750</v>
      </c>
      <c r="K405" s="27" t="s">
        <v>1750</v>
      </c>
      <c r="L405" s="27"/>
      <c r="M405" s="27"/>
      <c r="N405" s="27"/>
      <c r="O405" s="27"/>
      <c r="P405" s="27"/>
      <c r="Q405" s="27" t="str" cm="1">
        <f t="array" ref="Q405">_xlfn.REGEXEXTRACT(B405,"(?&lt;=//)[^/]+")</f>
        <v>bdsmstreak.com</v>
      </c>
      <c r="R405" s="27" t="s">
        <v>685</v>
      </c>
      <c r="S405" s="27" t="s">
        <v>1750</v>
      </c>
      <c r="T405" s="27" t="str" cm="1">
        <f t="array" ref="T405">IF(S405&lt;&gt;"NotApplicable",_xlfn.REGEXEXTRACT(S405,"\d+(?=p)"),"NotApplicable")</f>
        <v>NotApplicable</v>
      </c>
      <c r="U405" s="27" t="s">
        <v>1750</v>
      </c>
      <c r="V405" s="27" t="b">
        <f>ISNUMBER(SEARCH(",",F405))</f>
        <v>0</v>
      </c>
    </row>
    <row r="406" spans="1:22" ht="30" x14ac:dyDescent="0.25">
      <c r="A406" s="27" t="str">
        <f>IF(ISBLANK(N406)=TRUE,"Pending","Done")</f>
        <v>Pending</v>
      </c>
      <c r="B406" s="27" t="s">
        <v>1620</v>
      </c>
      <c r="C406" s="27">
        <v>59</v>
      </c>
      <c r="D406" s="27" t="str">
        <f>SUBSTITUTE(TRIM(RIGHT(SUBSTITUTE(IF(RIGHT(B406,1)="/",LEFT(B406,LEN(B406)-1),B406),"/",REPT(" ",LEN(B406))),LEN(B406))),"-"," ")</f>
        <v>bitch bound in bag extreme spread eagle special</v>
      </c>
      <c r="E406" s="27" t="s">
        <v>849</v>
      </c>
      <c r="F406" s="27" t="s">
        <v>1636</v>
      </c>
      <c r="G406" s="27" t="s">
        <v>70</v>
      </c>
      <c r="H406" s="27" t="s">
        <v>2813</v>
      </c>
      <c r="I406" s="27" t="s">
        <v>2813</v>
      </c>
      <c r="J406" s="27" t="s">
        <v>1750</v>
      </c>
      <c r="K406" s="27" t="s">
        <v>1750</v>
      </c>
      <c r="L406" s="27"/>
      <c r="M406" s="27"/>
      <c r="N406" s="27"/>
      <c r="O406" s="27"/>
      <c r="P406" s="27" t="s">
        <v>1648</v>
      </c>
      <c r="Q406" s="27" t="str" cm="1">
        <f t="array" ref="Q406">_xlfn.REGEXEXTRACT(B406,"(?&lt;=//)[^/]+")</f>
        <v>hcbdsm.com</v>
      </c>
      <c r="R406" s="27" t="s">
        <v>685</v>
      </c>
      <c r="S406" s="27" t="s">
        <v>1750</v>
      </c>
      <c r="T406" s="27" t="str" cm="1">
        <f t="array" ref="T406">IF(S406&lt;&gt;"NotApplicable",_xlfn.REGEXEXTRACT(S406,"\d+(?=p)"),"NotApplicable")</f>
        <v>NotApplicable</v>
      </c>
      <c r="U406" s="27" t="s">
        <v>1750</v>
      </c>
      <c r="V406" s="27" t="b">
        <f>ISNUMBER(SEARCH(",",F406))</f>
        <v>0</v>
      </c>
    </row>
    <row r="407" spans="1:22" ht="30" x14ac:dyDescent="0.25">
      <c r="A407" s="27" t="str">
        <f>IF(ISBLANK(N407)=TRUE,"Pending","Done")</f>
        <v>Pending</v>
      </c>
      <c r="B407" s="27" t="s">
        <v>1797</v>
      </c>
      <c r="C407" s="27">
        <v>59</v>
      </c>
      <c r="D407" s="27" t="str">
        <f>SUBSTITUTE(TRIM(RIGHT(SUBSTITUTE(IF(RIGHT(B407,1)="/",LEFT(B407,LEN(B407)-1),B407),"/",REPT(" ",LEN(B407))),LEN(B407))),"-"," ")</f>
        <v>cyd black and amber rayne</v>
      </c>
      <c r="E407" s="27" t="s">
        <v>849</v>
      </c>
      <c r="F407" s="27" t="s">
        <v>2816</v>
      </c>
      <c r="G407" s="27" t="s">
        <v>70</v>
      </c>
      <c r="H407" s="27" t="s">
        <v>2814</v>
      </c>
      <c r="I407" s="27" t="s">
        <v>2814</v>
      </c>
      <c r="J407" s="27">
        <v>6</v>
      </c>
      <c r="K407" s="27" t="s">
        <v>1765</v>
      </c>
      <c r="L407" s="27" t="s">
        <v>1677</v>
      </c>
      <c r="M407" s="27"/>
      <c r="N407" s="27"/>
      <c r="O407" s="27"/>
      <c r="P407" s="27"/>
      <c r="Q407" s="27" t="str" cm="1">
        <f t="array" ref="Q407">_xlfn.REGEXEXTRACT(B407,"(?&lt;=//)[^/]+")</f>
        <v>hcbdsm.com</v>
      </c>
      <c r="R407" s="27" t="s">
        <v>685</v>
      </c>
      <c r="S407" s="27" t="s">
        <v>1750</v>
      </c>
      <c r="T407" s="27" t="str" cm="1">
        <f t="array" ref="T407">IF(S407&lt;&gt;"NotApplicable",_xlfn.REGEXEXTRACT(S407,"\d+(?=p)"),"NotApplicable")</f>
        <v>NotApplicable</v>
      </c>
      <c r="U407" s="27" t="s">
        <v>1750</v>
      </c>
      <c r="V407" s="27" t="b">
        <f>ISNUMBER(SEARCH(",",F407))</f>
        <v>1</v>
      </c>
    </row>
    <row r="408" spans="1:22" ht="45" x14ac:dyDescent="0.25">
      <c r="A408" s="27" t="str">
        <f>IF(ISBLANK(N408)=TRUE,"Pending","Done")</f>
        <v>Pending</v>
      </c>
      <c r="B408" s="27" t="s">
        <v>1967</v>
      </c>
      <c r="C408" s="27">
        <v>59</v>
      </c>
      <c r="D408" s="27" t="str">
        <f>SUBSTITUTE(TRIM(RIGHT(SUBSTITUTE(IF(RIGHT(B408,1)="/",LEFT(B408,LEN(B408)-1),B408),"/",REPT(" ",LEN(B408))),LEN(B408))),"-"," ")</f>
        <v>one tough bitch holly heart and maestro</v>
      </c>
      <c r="E408" s="27" t="s">
        <v>849</v>
      </c>
      <c r="F408" s="27" t="s">
        <v>1968</v>
      </c>
      <c r="G408" s="27" t="s">
        <v>70</v>
      </c>
      <c r="H408" s="27" t="s">
        <v>2815</v>
      </c>
      <c r="I408" s="27" t="s">
        <v>2815</v>
      </c>
      <c r="J408" s="27">
        <v>7</v>
      </c>
      <c r="K408" s="27" t="s">
        <v>2817</v>
      </c>
      <c r="L408" s="27"/>
      <c r="M408" s="27"/>
      <c r="N408" s="27"/>
      <c r="O408" s="27"/>
      <c r="P408" s="27"/>
      <c r="Q408" s="27" t="str" cm="1">
        <f t="array" ref="Q408">_xlfn.REGEXEXTRACT(B408,"(?&lt;=//)[^/]+")</f>
        <v>bdsmstreak.com</v>
      </c>
      <c r="R408" s="27" t="s">
        <v>685</v>
      </c>
      <c r="S408" s="27" t="s">
        <v>1750</v>
      </c>
      <c r="T408" s="27" t="str" cm="1">
        <f t="array" ref="T408">IF(S408&lt;&gt;"NotApplicable",_xlfn.REGEXEXTRACT(S408,"\d+(?=p)"),"NotApplicable")</f>
        <v>NotApplicable</v>
      </c>
      <c r="U408" s="27" t="s">
        <v>1750</v>
      </c>
      <c r="V408" s="27" t="b">
        <f>ISNUMBER(SEARCH(",",F408))</f>
        <v>0</v>
      </c>
    </row>
    <row r="409" spans="1:22" ht="30" x14ac:dyDescent="0.25">
      <c r="A409" s="27" t="str">
        <f>IF(ISBLANK(N409)=TRUE,"Pending","Done")</f>
        <v>Pending</v>
      </c>
      <c r="B409" s="27" t="s">
        <v>1561</v>
      </c>
      <c r="C409" s="27">
        <v>60</v>
      </c>
      <c r="D409" s="27" t="str">
        <f>SUBSTITUTE(TRIM(RIGHT(SUBSTITUTE(IF(RIGHT(B409,1)="/",LEFT(B409,LEN(B409)-1),B409),"/",REPT(" ",LEN(B409))),LEN(B409))),"-"," ")</f>
        <v>all natural beauty in pile driver orgasm overload</v>
      </c>
      <c r="E409" s="27" t="s">
        <v>849</v>
      </c>
      <c r="F409" s="27" t="s">
        <v>1587</v>
      </c>
      <c r="G409" s="27" t="s">
        <v>70</v>
      </c>
      <c r="H409" s="27" t="s">
        <v>2818</v>
      </c>
      <c r="I409" s="27" t="s">
        <v>2818</v>
      </c>
      <c r="J409" s="27" t="s">
        <v>1750</v>
      </c>
      <c r="K409" s="27" t="s">
        <v>1750</v>
      </c>
      <c r="L409" s="27"/>
      <c r="M409" s="27"/>
      <c r="N409" s="27"/>
      <c r="O409" s="27"/>
      <c r="P409" s="27" t="s">
        <v>1608</v>
      </c>
      <c r="Q409" s="27" t="str" cm="1">
        <f t="array" ref="Q409">_xlfn.REGEXEXTRACT(B409,"(?&lt;=//)[^/]+")</f>
        <v>bdsmstreak.com</v>
      </c>
      <c r="R409" s="27" t="s">
        <v>685</v>
      </c>
      <c r="S409" s="27" t="s">
        <v>1750</v>
      </c>
      <c r="T409" s="27" t="str" cm="1">
        <f t="array" ref="T409">IF(S409&lt;&gt;"NotApplicable",_xlfn.REGEXEXTRACT(S409,"\d+(?=p)"),"NotApplicable")</f>
        <v>NotApplicable</v>
      </c>
      <c r="U409" s="27" t="s">
        <v>1750</v>
      </c>
      <c r="V409" s="27" t="b">
        <f>ISNUMBER(SEARCH(",",F409))</f>
        <v>0</v>
      </c>
    </row>
    <row r="410" spans="1:22" ht="30" x14ac:dyDescent="0.25">
      <c r="A410" s="27" t="str">
        <f>IF(ISBLANK(N410)=TRUE,"Pending","Done")</f>
        <v>Pending</v>
      </c>
      <c r="B410" s="27" t="s">
        <v>1632</v>
      </c>
      <c r="C410" s="27">
        <v>61</v>
      </c>
      <c r="D410" s="27" t="str">
        <f>SUBSTITUTE(TRIM(RIGHT(SUBSTITUTE(IF(RIGHT(B410,1)="/",LEFT(B410,LEN(B410)-1),B410),"/",REPT(" ",LEN(B410))),LEN(B410))),"-"," ")</f>
        <v>dynamite katie summers brings it live</v>
      </c>
      <c r="E410" s="27" t="s">
        <v>849</v>
      </c>
      <c r="F410" s="27" t="s">
        <v>1645</v>
      </c>
      <c r="G410" s="27" t="s">
        <v>70</v>
      </c>
      <c r="H410" s="27" t="s">
        <v>2820</v>
      </c>
      <c r="I410" s="27" t="s">
        <v>2819</v>
      </c>
      <c r="J410" s="27">
        <v>8</v>
      </c>
      <c r="K410" s="27" t="s">
        <v>2821</v>
      </c>
      <c r="L410" s="27" t="s">
        <v>1816</v>
      </c>
      <c r="M410" s="27"/>
      <c r="N410" s="27"/>
      <c r="O410" s="27"/>
      <c r="P410" s="27" t="s">
        <v>1605</v>
      </c>
      <c r="Q410" s="27" t="str" cm="1">
        <f t="array" ref="Q410">_xlfn.REGEXEXTRACT(B410,"(?&lt;=//)[^/]+")</f>
        <v>hcbdsm.com</v>
      </c>
      <c r="R410" s="27" t="s">
        <v>685</v>
      </c>
      <c r="S410" s="27" t="s">
        <v>1750</v>
      </c>
      <c r="T410" s="27" t="str" cm="1">
        <f t="array" ref="T410">IF(S410&lt;&gt;"NotApplicable",_xlfn.REGEXEXTRACT(S410,"\d+(?=p)"),"NotApplicable")</f>
        <v>NotApplicable</v>
      </c>
      <c r="U410" s="27" t="s">
        <v>1750</v>
      </c>
      <c r="V410" s="27" t="b">
        <f>ISNUMBER(SEARCH(",",F410))</f>
        <v>0</v>
      </c>
    </row>
    <row r="411" spans="1:22" ht="30" x14ac:dyDescent="0.25">
      <c r="A411" s="27" t="str">
        <f>IF(ISBLANK(N411)=TRUE,"Pending","Done")</f>
        <v>Pending</v>
      </c>
      <c r="B411" s="27" t="s">
        <v>1625</v>
      </c>
      <c r="C411" s="27">
        <v>62</v>
      </c>
      <c r="D411" s="27" t="str">
        <f>SUBSTITUTE(TRIM(RIGHT(SUBSTITUTE(IF(RIGHT(B411,1)="/",LEFT(B411,LEN(B411)-1),B411),"/",REPT(" ",LEN(B411))),LEN(B411))),"-"," ")</f>
        <v>blonde with big natural breasts rode hard</v>
      </c>
      <c r="E411" s="27" t="s">
        <v>849</v>
      </c>
      <c r="F411" s="27" t="s">
        <v>204</v>
      </c>
      <c r="G411" s="27" t="s">
        <v>70</v>
      </c>
      <c r="H411" s="27" t="s">
        <v>2823</v>
      </c>
      <c r="I411" s="27" t="s">
        <v>2822</v>
      </c>
      <c r="J411" s="27" t="s">
        <v>1750</v>
      </c>
      <c r="K411" s="27" t="s">
        <v>1750</v>
      </c>
      <c r="L411" s="27"/>
      <c r="M411" s="27"/>
      <c r="N411" s="27"/>
      <c r="O411" s="27"/>
      <c r="P411" s="27" t="s">
        <v>1605</v>
      </c>
      <c r="Q411" s="27" t="str" cm="1">
        <f t="array" ref="Q411">_xlfn.REGEXEXTRACT(B411,"(?&lt;=//)[^/]+")</f>
        <v>bdsmstreak.com</v>
      </c>
      <c r="R411" s="27" t="s">
        <v>685</v>
      </c>
      <c r="S411" s="27" t="s">
        <v>1750</v>
      </c>
      <c r="T411" s="27" t="str" cm="1">
        <f t="array" ref="T411">IF(S411&lt;&gt;"NotApplicable",_xlfn.REGEXEXTRACT(S411,"\d+(?=p)"),"NotApplicable")</f>
        <v>NotApplicable</v>
      </c>
      <c r="U411" s="27" t="s">
        <v>1750</v>
      </c>
      <c r="V411" s="27" t="b">
        <f>ISNUMBER(SEARCH(",",F411))</f>
        <v>0</v>
      </c>
    </row>
    <row r="412" spans="1:22" ht="30" x14ac:dyDescent="0.25">
      <c r="A412" s="27" t="str">
        <f>IF(ISBLANK(N412)=TRUE,"Pending","Done")</f>
        <v>Pending</v>
      </c>
      <c r="B412" s="27" t="s">
        <v>1630</v>
      </c>
      <c r="C412" s="27">
        <v>62</v>
      </c>
      <c r="D412" s="27" t="str">
        <f>SUBSTITUTE(TRIM(RIGHT(SUBSTITUTE(IF(RIGHT(B412,1)="/",LEFT(B412,LEN(B412)-1),B412),"/",REPT(" ",LEN(B412))),LEN(B412))),"-"," ")</f>
        <v>busty california blonde courtney gets bent fucked challenged</v>
      </c>
      <c r="E412" s="27" t="s">
        <v>849</v>
      </c>
      <c r="F412" s="27" t="s">
        <v>1644</v>
      </c>
      <c r="G412" s="27" t="s">
        <v>70</v>
      </c>
      <c r="H412" s="27" t="s">
        <v>2824</v>
      </c>
      <c r="I412" s="27" t="s">
        <v>2824</v>
      </c>
      <c r="J412" s="27" t="s">
        <v>1750</v>
      </c>
      <c r="K412" s="27" t="s">
        <v>1750</v>
      </c>
      <c r="L412" s="27"/>
      <c r="M412" s="27"/>
      <c r="N412" s="27"/>
      <c r="O412" s="27"/>
      <c r="P412" s="27" t="s">
        <v>1650</v>
      </c>
      <c r="Q412" s="27" t="str" cm="1">
        <f t="array" ref="Q412">_xlfn.REGEXEXTRACT(B412,"(?&lt;=//)[^/]+")</f>
        <v>bdsmstreak.com</v>
      </c>
      <c r="R412" s="27" t="s">
        <v>685</v>
      </c>
      <c r="S412" s="27" t="s">
        <v>1750</v>
      </c>
      <c r="T412" s="27" t="str" cm="1">
        <f t="array" ref="T412">IF(S412&lt;&gt;"NotApplicable",_xlfn.REGEXEXTRACT(S412,"\d+(?=p)"),"NotApplicable")</f>
        <v>NotApplicable</v>
      </c>
      <c r="U412" s="27" t="s">
        <v>1750</v>
      </c>
      <c r="V412" s="27" t="b">
        <f>ISNUMBER(SEARCH(",",F412))</f>
        <v>0</v>
      </c>
    </row>
    <row r="413" spans="1:22" ht="30" x14ac:dyDescent="0.25">
      <c r="A413" s="27" t="str">
        <f>IF(ISBLANK(N413)=TRUE,"Pending","Done")</f>
        <v>Pending</v>
      </c>
      <c r="B413" s="27" t="s">
        <v>1831</v>
      </c>
      <c r="C413" s="27">
        <v>62</v>
      </c>
      <c r="D413" s="27" t="str">
        <f>SUBSTITUTE(TRIM(RIGHT(SUBSTITUTE(IF(RIGHT(B413,1)="/",LEFT(B413,LEN(B413)-1),B413),"/",REPT(" ",LEN(B413))),LEN(B413))),"-"," ")</f>
        <v>feature shoot wet rock canyon</v>
      </c>
      <c r="E413" s="27" t="s">
        <v>849</v>
      </c>
      <c r="F413" s="27" t="s">
        <v>1832</v>
      </c>
      <c r="G413" s="27" t="s">
        <v>70</v>
      </c>
      <c r="H413" s="27" t="s">
        <v>2825</v>
      </c>
      <c r="I413" s="27" t="s">
        <v>2825</v>
      </c>
      <c r="J413" s="27">
        <v>6</v>
      </c>
      <c r="K413" s="27" t="s">
        <v>1833</v>
      </c>
      <c r="L413" s="27" t="s">
        <v>1677</v>
      </c>
      <c r="M413" s="27"/>
      <c r="N413" s="27"/>
      <c r="O413" s="27"/>
      <c r="P413" s="27"/>
      <c r="Q413" s="27" t="str" cm="1">
        <f t="array" ref="Q413">_xlfn.REGEXEXTRACT(B413,"(?&lt;=//)[^/]+")</f>
        <v>bdsmstreak.com</v>
      </c>
      <c r="R413" s="27" t="s">
        <v>685</v>
      </c>
      <c r="S413" s="27" t="s">
        <v>1750</v>
      </c>
      <c r="T413" s="27" t="str" cm="1">
        <f t="array" ref="T413">IF(S413&lt;&gt;"NotApplicable",_xlfn.REGEXEXTRACT(S413,"\d+(?=p)"),"NotApplicable")</f>
        <v>NotApplicable</v>
      </c>
      <c r="U413" s="27" t="s">
        <v>1750</v>
      </c>
      <c r="V413" s="27" t="b">
        <f>ISNUMBER(SEARCH(",",F413))</f>
        <v>0</v>
      </c>
    </row>
    <row r="414" spans="1:22" ht="30" x14ac:dyDescent="0.25">
      <c r="A414" s="27" t="str">
        <f>IF(ISBLANK(N414)=TRUE,"Pending","Done")</f>
        <v>Pending</v>
      </c>
      <c r="B414" s="27" t="s">
        <v>2122</v>
      </c>
      <c r="C414" s="27">
        <v>63</v>
      </c>
      <c r="D414" s="27" t="str">
        <f>SUBSTITUTE(TRIM(RIGHT(SUBSTITUTE(IF(RIGHT(B414,1)="/",LEFT(B414,LEN(B414)-1),B414),"/",REPT(" ",LEN(B414))),LEN(B414))),"-"," ")</f>
        <v>welcome sheena shaw</v>
      </c>
      <c r="E414" s="27" t="s">
        <v>849</v>
      </c>
      <c r="F414" s="27" t="s">
        <v>1640</v>
      </c>
      <c r="G414" s="27" t="s">
        <v>70</v>
      </c>
      <c r="H414" s="27" t="s">
        <v>2826</v>
      </c>
      <c r="I414" s="27" t="s">
        <v>2826</v>
      </c>
      <c r="J414" s="27">
        <v>3</v>
      </c>
      <c r="K414" s="27" t="s">
        <v>2123</v>
      </c>
      <c r="L414" s="27"/>
      <c r="M414" s="27"/>
      <c r="N414" s="27"/>
      <c r="O414" s="27"/>
      <c r="P414" s="27"/>
      <c r="Q414" s="27" t="str" cm="1">
        <f t="array" ref="Q414">_xlfn.REGEXEXTRACT(B414,"(?&lt;=//)[^/]+")</f>
        <v>bdsmstreak.com</v>
      </c>
      <c r="R414" s="27" t="s">
        <v>685</v>
      </c>
      <c r="S414" s="27" t="s">
        <v>1750</v>
      </c>
      <c r="T414" s="27" t="str" cm="1">
        <f t="array" ref="T414">IF(S414&lt;&gt;"NotApplicable",_xlfn.REGEXEXTRACT(S414,"\d+(?=p)"),"NotApplicable")</f>
        <v>NotApplicable</v>
      </c>
      <c r="U414" s="27" t="s">
        <v>1750</v>
      </c>
      <c r="V414" s="27" t="b">
        <f>ISNUMBER(SEARCH(",",F414))</f>
        <v>0</v>
      </c>
    </row>
    <row r="415" spans="1:22" ht="30" x14ac:dyDescent="0.25">
      <c r="A415" s="27" t="str">
        <f>IF(ISBLANK(N415)=TRUE,"Pending","Done")</f>
        <v>Pending</v>
      </c>
      <c r="B415" s="27" t="s">
        <v>1439</v>
      </c>
      <c r="C415" s="27">
        <v>64</v>
      </c>
      <c r="D415" s="27" t="str">
        <f>SUBSTITUTE(TRIM(RIGHT(SUBSTITUTE(IF(RIGHT(B415,1)="/",LEFT(B415,LEN(B415)-1),B415),"/",REPT(" ",LEN(B415))),LEN(B415))),"-"," ")</f>
        <v>hogtied holly michaels suspension and domination</v>
      </c>
      <c r="E415" s="27" t="s">
        <v>849</v>
      </c>
      <c r="F415" s="27" t="s">
        <v>1438</v>
      </c>
      <c r="G415" s="27" t="s">
        <v>70</v>
      </c>
      <c r="H415" s="27" t="s">
        <v>2834</v>
      </c>
      <c r="I415" s="27" t="s">
        <v>2833</v>
      </c>
      <c r="J415" s="27" t="s">
        <v>1750</v>
      </c>
      <c r="K415" s="27" t="s">
        <v>1750</v>
      </c>
      <c r="L415" s="27"/>
      <c r="M415" s="27"/>
      <c r="N415" s="27"/>
      <c r="O415" s="27"/>
      <c r="P415" s="27"/>
      <c r="Q415" s="27" t="str" cm="1">
        <f t="array" ref="Q415">_xlfn.REGEXEXTRACT(B415,"(?&lt;=//)[^/]+")</f>
        <v>bdsmlust.com</v>
      </c>
      <c r="R415" s="27" t="s">
        <v>685</v>
      </c>
      <c r="S415" s="27" t="s">
        <v>1750</v>
      </c>
      <c r="T415" s="27" t="str" cm="1">
        <f t="array" ref="T415">IF(S415&lt;&gt;"NotApplicable",_xlfn.REGEXEXTRACT(S415,"\d+(?=p)"),"NotApplicable")</f>
        <v>NotApplicable</v>
      </c>
      <c r="U415" s="27" t="s">
        <v>1750</v>
      </c>
      <c r="V415" s="27" t="b">
        <f>ISNUMBER(SEARCH(",",F415))</f>
        <v>0</v>
      </c>
    </row>
    <row r="416" spans="1:22" ht="30" x14ac:dyDescent="0.25">
      <c r="A416" s="27" t="str">
        <f>IF(ISBLANK(N416)=TRUE,"Pending","Done")</f>
        <v>Pending</v>
      </c>
      <c r="B416" s="27" t="s">
        <v>1878</v>
      </c>
      <c r="C416" s="27">
        <v>64</v>
      </c>
      <c r="D416" s="27" t="str">
        <f>SUBSTITUTE(TRIM(RIGHT(SUBSTITUTE(IF(RIGHT(B416,1)="/",LEFT(B416,LEN(B416)-1),B416),"/",REPT(" ",LEN(B416))),LEN(B416))),"-"," ")</f>
        <v>jodi taylor eager slut elaborately bound caned zapped and fucked</v>
      </c>
      <c r="E416" s="27" t="s">
        <v>849</v>
      </c>
      <c r="F416" s="27" t="s">
        <v>1879</v>
      </c>
      <c r="G416" s="27" t="s">
        <v>70</v>
      </c>
      <c r="H416" s="27" t="s">
        <v>2835</v>
      </c>
      <c r="I416" s="27" t="s">
        <v>2835</v>
      </c>
      <c r="J416" s="27">
        <v>2</v>
      </c>
      <c r="K416" s="27" t="s">
        <v>1880</v>
      </c>
      <c r="L416" s="27"/>
      <c r="M416" s="27"/>
      <c r="N416" s="27"/>
      <c r="O416" s="27"/>
      <c r="P416" s="27"/>
      <c r="Q416" s="27" t="str" cm="1">
        <f t="array" ref="Q416">_xlfn.REGEXEXTRACT(B416,"(?&lt;=//)[^/]+")</f>
        <v>bdsmstreak.com</v>
      </c>
      <c r="R416" s="27" t="s">
        <v>685</v>
      </c>
      <c r="S416" s="27" t="s">
        <v>1750</v>
      </c>
      <c r="T416" s="27" t="str" cm="1">
        <f t="array" ref="T416">IF(S416&lt;&gt;"NotApplicable",_xlfn.REGEXEXTRACT(S416,"\d+(?=p)"),"NotApplicable")</f>
        <v>NotApplicable</v>
      </c>
      <c r="U416" s="27" t="s">
        <v>1750</v>
      </c>
      <c r="V416" s="27" t="b">
        <f>ISNUMBER(SEARCH(",",F416))</f>
        <v>0</v>
      </c>
    </row>
    <row r="417" spans="1:22" ht="30" x14ac:dyDescent="0.25">
      <c r="A417" s="27" t="str">
        <f>IF(ISBLANK(N417)=TRUE,"Pending","Done")</f>
        <v>Pending</v>
      </c>
      <c r="B417" s="27" t="s">
        <v>2112</v>
      </c>
      <c r="C417" s="27">
        <v>66</v>
      </c>
      <c r="D417" s="27" t="str">
        <f>SUBSTITUTE(TRIM(RIGHT(SUBSTITUTE(IF(RIGHT(B417,1)="/",LEFT(B417,LEN(B417)-1),B417),"/",REPT(" ",LEN(B417))),LEN(B417))),"-"," ")</f>
        <v>tracey sweet</v>
      </c>
      <c r="E417" s="27" t="s">
        <v>849</v>
      </c>
      <c r="F417" s="27" t="s">
        <v>1421</v>
      </c>
      <c r="G417" s="27" t="s">
        <v>70</v>
      </c>
      <c r="H417" s="27" t="s">
        <v>2827</v>
      </c>
      <c r="I417" s="27" t="s">
        <v>2827</v>
      </c>
      <c r="J417" s="27">
        <v>0</v>
      </c>
      <c r="K417" s="27" t="s">
        <v>1141</v>
      </c>
      <c r="L417" s="27"/>
      <c r="M417" s="27"/>
      <c r="N417" s="27"/>
      <c r="O417" s="27"/>
      <c r="P417" s="27"/>
      <c r="Q417" s="27" t="str" cm="1">
        <f t="array" ref="Q417">_xlfn.REGEXEXTRACT(B417,"(?&lt;=//)[^/]+")</f>
        <v>bdsmstreak.com</v>
      </c>
      <c r="R417" s="27" t="s">
        <v>685</v>
      </c>
      <c r="S417" s="27" t="s">
        <v>1750</v>
      </c>
      <c r="T417" s="27" t="str" cm="1">
        <f t="array" ref="T417">IF(S417&lt;&gt;"NotApplicable",_xlfn.REGEXEXTRACT(S417,"\d+(?=p)"),"NotApplicable")</f>
        <v>NotApplicable</v>
      </c>
      <c r="U417" s="27" t="s">
        <v>1750</v>
      </c>
      <c r="V417" s="27" t="b">
        <f>ISNUMBER(SEARCH(",",F417))</f>
        <v>0</v>
      </c>
    </row>
    <row r="418" spans="1:22" ht="30" x14ac:dyDescent="0.25">
      <c r="A418" s="27" t="str">
        <f>IF(ISBLANK(N418)=TRUE,"Pending","Done")</f>
        <v>Pending</v>
      </c>
      <c r="B418" s="27" t="s">
        <v>1768</v>
      </c>
      <c r="C418" s="27">
        <v>67</v>
      </c>
      <c r="D418" s="27" t="str">
        <f>SUBSTITUTE(TRIM(RIGHT(SUBSTITUTE(IF(RIGHT(B418,1)="/",LEFT(B418,LEN(B418)-1),B418),"/",REPT(" ",LEN(B418))),LEN(B418))),"-"," ")</f>
        <v>chanel preston returns to hogtied</v>
      </c>
      <c r="E418" s="27" t="s">
        <v>849</v>
      </c>
      <c r="F418" s="27" t="s">
        <v>431</v>
      </c>
      <c r="G418" s="27" t="s">
        <v>70</v>
      </c>
      <c r="H418" s="27" t="s">
        <v>2836</v>
      </c>
      <c r="I418" s="27" t="s">
        <v>2836</v>
      </c>
      <c r="J418" s="27">
        <v>0</v>
      </c>
      <c r="K418" s="27" t="s">
        <v>1144</v>
      </c>
      <c r="L418" s="27"/>
      <c r="M418" s="27"/>
      <c r="N418" s="27"/>
      <c r="O418" s="27"/>
      <c r="P418" s="27"/>
      <c r="Q418" s="27" t="str" cm="1">
        <f t="array" ref="Q418">_xlfn.REGEXEXTRACT(B418,"(?&lt;=//)[^/]+")</f>
        <v>bdsmstreak.com</v>
      </c>
      <c r="R418" s="27" t="s">
        <v>685</v>
      </c>
      <c r="S418" s="27" t="s">
        <v>1750</v>
      </c>
      <c r="T418" s="27" t="str" cm="1">
        <f t="array" ref="T418">IF(S418&lt;&gt;"NotApplicable",_xlfn.REGEXEXTRACT(S418,"\d+(?=p)"),"NotApplicable")</f>
        <v>NotApplicable</v>
      </c>
      <c r="U418" s="27" t="s">
        <v>1750</v>
      </c>
      <c r="V418" s="27" t="b">
        <f>ISNUMBER(SEARCH(",",F418))</f>
        <v>0</v>
      </c>
    </row>
    <row r="419" spans="1:22" ht="30" x14ac:dyDescent="0.25">
      <c r="A419" s="27" t="str">
        <f>IF(ISBLANK(N419)=TRUE,"Pending","Done")</f>
        <v>Pending</v>
      </c>
      <c r="B419" s="27" t="s">
        <v>2071</v>
      </c>
      <c r="C419" s="27">
        <v>70</v>
      </c>
      <c r="D419" s="27" t="str">
        <f>SUBSTITUTE(TRIM(RIGHT(SUBSTITUTE(IF(RIGHT(B419,1)="/",LEFT(B419,LEN(B419)-1),B419),"/",REPT(" ",LEN(B419))),LEN(B419))),"-"," ")</f>
        <v>the naive model and the creepy photographer</v>
      </c>
      <c r="E419" s="27" t="s">
        <v>849</v>
      </c>
      <c r="F419" s="27" t="s">
        <v>2072</v>
      </c>
      <c r="G419" s="27" t="s">
        <v>70</v>
      </c>
      <c r="H419" s="27" t="s">
        <v>2828</v>
      </c>
      <c r="I419" s="27" t="s">
        <v>2828</v>
      </c>
      <c r="J419" s="27">
        <v>5</v>
      </c>
      <c r="K419" s="27" t="s">
        <v>2073</v>
      </c>
      <c r="L419" s="27" t="s">
        <v>2784</v>
      </c>
      <c r="M419" s="27"/>
      <c r="N419" s="27"/>
      <c r="O419" s="27"/>
      <c r="P419" s="27"/>
      <c r="Q419" s="27" t="str" cm="1">
        <f t="array" ref="Q419">_xlfn.REGEXEXTRACT(B419,"(?&lt;=//)[^/]+")</f>
        <v>bdsmstreak.com</v>
      </c>
      <c r="R419" s="27" t="s">
        <v>685</v>
      </c>
      <c r="S419" s="27" t="s">
        <v>1750</v>
      </c>
      <c r="T419" s="27" t="str" cm="1">
        <f t="array" ref="T419">IF(S419&lt;&gt;"NotApplicable",_xlfn.REGEXEXTRACT(S419,"\d+(?=p)"),"NotApplicable")</f>
        <v>NotApplicable</v>
      </c>
      <c r="U419" s="27" t="s">
        <v>1750</v>
      </c>
      <c r="V419" s="27" t="b">
        <f>ISNUMBER(SEARCH(",",F419))</f>
        <v>0</v>
      </c>
    </row>
    <row r="420" spans="1:22" ht="30" x14ac:dyDescent="0.25">
      <c r="A420" s="27" t="str">
        <f>IF(ISBLANK(N420)=TRUE,"Pending","Done")</f>
        <v>Pending</v>
      </c>
      <c r="B420" s="27" t="s">
        <v>1910</v>
      </c>
      <c r="C420" s="27">
        <v>73</v>
      </c>
      <c r="D420" s="27" t="str">
        <f>SUBSTITUTE(TRIM(RIGHT(SUBSTITUTE(IF(RIGHT(B420,1)="/",LEFT(B420,LEN(B420)-1),B420),"/",REPT(" ",LEN(B420))),LEN(B420))),"-"," ")</f>
        <v>lyla storm complete edited live show</v>
      </c>
      <c r="E420" s="27" t="s">
        <v>849</v>
      </c>
      <c r="F420" s="27" t="s">
        <v>1615</v>
      </c>
      <c r="G420" s="27" t="s">
        <v>70</v>
      </c>
      <c r="H420" s="27" t="s">
        <v>2837</v>
      </c>
      <c r="I420" s="27" t="s">
        <v>2829</v>
      </c>
      <c r="J420" s="27">
        <v>6</v>
      </c>
      <c r="K420" s="27" t="s">
        <v>1606</v>
      </c>
      <c r="L420" s="27" t="s">
        <v>1816</v>
      </c>
      <c r="M420" s="27"/>
      <c r="N420" s="27"/>
      <c r="O420" s="27"/>
      <c r="P420" s="27"/>
      <c r="Q420" s="27" t="str" cm="1">
        <f t="array" ref="Q420">_xlfn.REGEXEXTRACT(B420,"(?&lt;=//)[^/]+")</f>
        <v>bdsmstreak.com</v>
      </c>
      <c r="R420" s="27" t="s">
        <v>685</v>
      </c>
      <c r="S420" s="27" t="s">
        <v>1750</v>
      </c>
      <c r="T420" s="27" t="str" cm="1">
        <f t="array" ref="T420">IF(S420&lt;&gt;"NotApplicable",_xlfn.REGEXEXTRACT(S420,"\d+(?=p)"),"NotApplicable")</f>
        <v>NotApplicable</v>
      </c>
      <c r="U420" s="27" t="s">
        <v>1750</v>
      </c>
      <c r="V420" s="27" t="b">
        <f>ISNUMBER(SEARCH(",",F420))</f>
        <v>0</v>
      </c>
    </row>
    <row r="421" spans="1:22" ht="30" x14ac:dyDescent="0.25">
      <c r="A421" s="27" t="str">
        <f>IF(ISBLANK(N421)=TRUE,"Pending","Done")</f>
        <v>Pending</v>
      </c>
      <c r="B421" s="27" t="s">
        <v>1567</v>
      </c>
      <c r="C421" s="27">
        <v>78</v>
      </c>
      <c r="D421" s="27" t="str">
        <f>SUBSTITUTE(TRIM(RIGHT(SUBSTITUTE(IF(RIGHT(B421,1)="/",LEFT(B421,LEN(B421)-1),B421),"/",REPT(" ",LEN(B421))),LEN(B421))),"-"," ")</f>
        <v>anal slut gets cold steel anal invasion</v>
      </c>
      <c r="E421" s="27" t="s">
        <v>849</v>
      </c>
      <c r="F421" s="27" t="s">
        <v>1593</v>
      </c>
      <c r="G421" s="27" t="s">
        <v>70</v>
      </c>
      <c r="H421" s="27" t="s">
        <v>2830</v>
      </c>
      <c r="I421" s="27" t="s">
        <v>2830</v>
      </c>
      <c r="J421" s="27" t="s">
        <v>1750</v>
      </c>
      <c r="K421" s="27" t="s">
        <v>1750</v>
      </c>
      <c r="L421" s="27"/>
      <c r="M421" s="27"/>
      <c r="N421" s="27"/>
      <c r="O421" s="27"/>
      <c r="P421" s="27"/>
      <c r="Q421" s="27" t="str" cm="1">
        <f t="array" ref="Q421">_xlfn.REGEXEXTRACT(B421,"(?&lt;=//)[^/]+")</f>
        <v>bdsmstreak.com</v>
      </c>
      <c r="R421" s="27" t="s">
        <v>685</v>
      </c>
      <c r="S421" s="27" t="s">
        <v>1750</v>
      </c>
      <c r="T421" s="27" t="str" cm="1">
        <f t="array" ref="T421">IF(S421&lt;&gt;"NotApplicable",_xlfn.REGEXEXTRACT(S421,"\d+(?=p)"),"NotApplicable")</f>
        <v>NotApplicable</v>
      </c>
      <c r="U421" s="27" t="s">
        <v>1750</v>
      </c>
      <c r="V421" s="27" t="b">
        <f>ISNUMBER(SEARCH(",",F421))</f>
        <v>0</v>
      </c>
    </row>
    <row r="422" spans="1:22" ht="30" x14ac:dyDescent="0.25">
      <c r="A422" s="27" t="str">
        <f>IF(ISBLANK(N422)=TRUE,"Pending","Done")</f>
        <v>Pending</v>
      </c>
      <c r="B422" s="27" t="s">
        <v>1568</v>
      </c>
      <c r="C422" s="27">
        <v>90</v>
      </c>
      <c r="D422" s="27" t="str">
        <f>SUBSTITUTE(TRIM(RIGHT(SUBSTITUTE(IF(RIGHT(B422,1)="/",LEFT(B422,LEN(B422)-1),B422),"/",REPT(" ",LEN(B422))),LEN(B422))),"-"," ")</f>
        <v>ariel x live show complete edited version</v>
      </c>
      <c r="E422" s="27" t="s">
        <v>849</v>
      </c>
      <c r="F422" s="27" t="s">
        <v>1577</v>
      </c>
      <c r="G422" s="27" t="s">
        <v>70</v>
      </c>
      <c r="H422" s="27" t="s">
        <v>2838</v>
      </c>
      <c r="I422" s="27" t="s">
        <v>2831</v>
      </c>
      <c r="J422" s="27" t="s">
        <v>1750</v>
      </c>
      <c r="K422" s="27" t="s">
        <v>1750</v>
      </c>
      <c r="L422" s="27"/>
      <c r="M422" s="27"/>
      <c r="N422" s="27"/>
      <c r="O422" s="27"/>
      <c r="P422" s="27" t="s">
        <v>1602</v>
      </c>
      <c r="Q422" s="27" t="str" cm="1">
        <f t="array" ref="Q422">_xlfn.REGEXEXTRACT(B422,"(?&lt;=//)[^/]+")</f>
        <v>bdsmstreak.com</v>
      </c>
      <c r="R422" s="27" t="s">
        <v>685</v>
      </c>
      <c r="S422" s="27" t="s">
        <v>1750</v>
      </c>
      <c r="T422" s="27" t="str" cm="1">
        <f t="array" ref="T422">IF(S422&lt;&gt;"NotApplicable",_xlfn.REGEXEXTRACT(S422,"\d+(?=p)"),"NotApplicable")</f>
        <v>NotApplicable</v>
      </c>
      <c r="U422" s="27" t="s">
        <v>1750</v>
      </c>
      <c r="V422" s="27" t="b">
        <f>ISNUMBER(SEARCH(",",F422))</f>
        <v>0</v>
      </c>
    </row>
    <row r="423" spans="1:22" ht="45" x14ac:dyDescent="0.25">
      <c r="A423" s="27" t="str">
        <f>IF(ISBLANK(N423)=TRUE,"Pending","Done")</f>
        <v>Pending</v>
      </c>
      <c r="B423" s="27" t="s">
        <v>2111</v>
      </c>
      <c r="C423" s="27">
        <v>90</v>
      </c>
      <c r="D423" s="27" t="str">
        <f>SUBSTITUTE(TRIM(RIGHT(SUBSTITUTE(IF(RIGHT(B423,1)="/",LEFT(B423,LEN(B423)-1),B423),"/",REPT(" ",LEN(B423))),LEN(B423))),"-"," ")</f>
        <v>tough blonde bombshell fan favorite lorelei lee complete edited live show3</v>
      </c>
      <c r="E423" s="27" t="s">
        <v>849</v>
      </c>
      <c r="F423" s="27" t="s">
        <v>274</v>
      </c>
      <c r="G423" s="27" t="s">
        <v>70</v>
      </c>
      <c r="H423" s="27" t="s">
        <v>2840</v>
      </c>
      <c r="I423" s="27" t="s">
        <v>2839</v>
      </c>
      <c r="J423" s="27">
        <v>0</v>
      </c>
      <c r="K423" s="27" t="s">
        <v>1816</v>
      </c>
      <c r="L423" s="27"/>
      <c r="M423" s="27"/>
      <c r="N423" s="27"/>
      <c r="O423" s="27"/>
      <c r="P423" s="27"/>
      <c r="Q423" s="27" t="str" cm="1">
        <f t="array" ref="Q423">_xlfn.REGEXEXTRACT(B423,"(?&lt;=//)[^/]+")</f>
        <v>hcbdsm.com</v>
      </c>
      <c r="R423" s="27" t="s">
        <v>685</v>
      </c>
      <c r="S423" s="27" t="s">
        <v>1750</v>
      </c>
      <c r="T423" s="27" t="str" cm="1">
        <f t="array" ref="T423">IF(S423&lt;&gt;"NotApplicable",_xlfn.REGEXEXTRACT(S423,"\d+(?=p)"),"NotApplicable")</f>
        <v>NotApplicable</v>
      </c>
      <c r="U423" s="27" t="s">
        <v>1750</v>
      </c>
      <c r="V423" s="27" t="b">
        <f>ISNUMBER(SEARCH(",",F423))</f>
        <v>0</v>
      </c>
    </row>
    <row r="424" spans="1:22" ht="30" x14ac:dyDescent="0.25">
      <c r="A424" s="27" t="str">
        <f>IF(ISBLANK(N424)=TRUE,"Pending","Done")</f>
        <v>Pending</v>
      </c>
      <c r="B424" s="27" t="s">
        <v>1824</v>
      </c>
      <c r="C424" s="27">
        <v>105</v>
      </c>
      <c r="D424" s="27" t="str">
        <f>SUBSTITUTE(TRIM(RIGHT(SUBSTITUTE(IF(RIGHT(B424,1)="/",LEFT(B424,LEN(B424)-1),B424),"/",REPT(" ",LEN(B424))),LEN(B424))),"-"," ")</f>
        <v>encore of amber raynes april 6th live show</v>
      </c>
      <c r="E424" s="27" t="s">
        <v>849</v>
      </c>
      <c r="F424" s="27" t="s">
        <v>219</v>
      </c>
      <c r="G424" s="27" t="s">
        <v>70</v>
      </c>
      <c r="H424" s="27" t="s">
        <v>2841</v>
      </c>
      <c r="I424" s="27" t="s">
        <v>2841</v>
      </c>
      <c r="J424" s="27">
        <v>0</v>
      </c>
      <c r="K424" s="27" t="s">
        <v>1141</v>
      </c>
      <c r="L424" s="27"/>
      <c r="M424" s="27"/>
      <c r="N424" s="27"/>
      <c r="O424" s="27"/>
      <c r="P424" s="27"/>
      <c r="Q424" s="27" t="str" cm="1">
        <f t="array" ref="Q424">_xlfn.REGEXEXTRACT(B424,"(?&lt;=//)[^/]+")</f>
        <v>bdsmstreak.com</v>
      </c>
      <c r="R424" s="27" t="s">
        <v>685</v>
      </c>
      <c r="S424" s="27" t="s">
        <v>1750</v>
      </c>
      <c r="T424" s="27" t="str" cm="1">
        <f t="array" ref="T424">IF(S424&lt;&gt;"NotApplicable",_xlfn.REGEXEXTRACT(S424,"\d+(?=p)"),"NotApplicable")</f>
        <v>NotApplicable</v>
      </c>
      <c r="U424" s="27" t="s">
        <v>1750</v>
      </c>
      <c r="V424" s="27" t="b">
        <f>ISNUMBER(SEARCH(",",F424))</f>
        <v>0</v>
      </c>
    </row>
    <row r="425" spans="1:22" ht="45" x14ac:dyDescent="0.25">
      <c r="A425" s="27" t="str">
        <f>IF(ISBLANK(N425)=TRUE,"Pending","Done")</f>
        <v>Pending</v>
      </c>
      <c r="B425" s="27" t="s">
        <v>1619</v>
      </c>
      <c r="C425" s="27">
        <v>58</v>
      </c>
      <c r="D425" s="27" t="str">
        <f>SUBSTITUTE(TRIM(RIGHT(SUBSTITUTE(IF(RIGHT(B425,1)="/",LEFT(B425,LEN(B425)-1),B425),"/",REPT(" ",LEN(B425))),LEN(B425))),"-"," ")</f>
        <v>birthday party for the princess pt 2</v>
      </c>
      <c r="E425" s="27" t="s">
        <v>844</v>
      </c>
      <c r="F425" s="27" t="s">
        <v>1635</v>
      </c>
      <c r="G425" s="27" t="s">
        <v>70</v>
      </c>
      <c r="H425" s="27" t="s">
        <v>2843</v>
      </c>
      <c r="I425" s="27" t="s">
        <v>2842</v>
      </c>
      <c r="J425" s="27" t="s">
        <v>1750</v>
      </c>
      <c r="K425" s="27" t="s">
        <v>1750</v>
      </c>
      <c r="L425" s="27" t="s">
        <v>1685</v>
      </c>
      <c r="M425" s="27"/>
      <c r="N425" s="27"/>
      <c r="O425" s="27"/>
      <c r="P425" s="27"/>
      <c r="Q425" s="27" t="str" cm="1">
        <f t="array" ref="Q425">_xlfn.REGEXEXTRACT(B425,"(?&lt;=//)[^/]+")</f>
        <v>bdsmstreak.com</v>
      </c>
      <c r="R425" s="27" t="s">
        <v>685</v>
      </c>
      <c r="S425" s="27" t="s">
        <v>1750</v>
      </c>
      <c r="T425" s="27" t="str" cm="1">
        <f t="array" ref="T425">IF(S425&lt;&gt;"NotApplicable",_xlfn.REGEXEXTRACT(S425,"\d+(?=p)"),"NotApplicable")</f>
        <v>NotApplicable</v>
      </c>
      <c r="U425" s="27" t="s">
        <v>1750</v>
      </c>
      <c r="V425" s="27" t="b">
        <f>ISNUMBER(SEARCH(",",F425))</f>
        <v>1</v>
      </c>
    </row>
    <row r="426" spans="1:22" ht="30" x14ac:dyDescent="0.25">
      <c r="A426" s="27" t="str">
        <f>IF(ISBLANK(N426)=TRUE,"Pending","Done")</f>
        <v>Pending</v>
      </c>
      <c r="B426" s="27" t="s">
        <v>2094</v>
      </c>
      <c r="C426" s="27">
        <v>67</v>
      </c>
      <c r="D426" s="27" t="str">
        <f>SUBSTITUTE(TRIM(RIGHT(SUBSTITUTE(IF(RIGHT(B426,1)="/",LEFT(B426,LEN(B426)-1),B426),"/",REPT(" ",LEN(B426))),LEN(B426))),"-"," ")</f>
        <v>tiny blonde tied up and ass fucked in public2</v>
      </c>
      <c r="E426" s="27" t="s">
        <v>844</v>
      </c>
      <c r="F426" s="27" t="s">
        <v>1593</v>
      </c>
      <c r="G426" s="27" t="s">
        <v>70</v>
      </c>
      <c r="H426" s="27" t="s">
        <v>2844</v>
      </c>
      <c r="I426" s="27" t="s">
        <v>2844</v>
      </c>
      <c r="J426" s="27">
        <v>0</v>
      </c>
      <c r="K426" s="27" t="s">
        <v>2000</v>
      </c>
      <c r="L426" s="27" t="s">
        <v>2000</v>
      </c>
      <c r="M426" s="27"/>
      <c r="N426" s="27"/>
      <c r="O426" s="27"/>
      <c r="P426" s="27"/>
      <c r="Q426" s="27" t="str" cm="1">
        <f t="array" ref="Q426">_xlfn.REGEXEXTRACT(B426,"(?&lt;=//)[^/]+")</f>
        <v>hcbdsm.com</v>
      </c>
      <c r="R426" s="27" t="s">
        <v>685</v>
      </c>
      <c r="S426" s="27" t="s">
        <v>1750</v>
      </c>
      <c r="T426" s="27" t="str" cm="1">
        <f t="array" ref="T426">IF(S426&lt;&gt;"NotApplicable",_xlfn.REGEXEXTRACT(S426,"\d+(?=p)"),"NotApplicable")</f>
        <v>NotApplicable</v>
      </c>
      <c r="U426" s="27" t="s">
        <v>1750</v>
      </c>
      <c r="V426" s="27" t="b">
        <f>ISNUMBER(SEARCH(",",F426))</f>
        <v>0</v>
      </c>
    </row>
    <row r="427" spans="1:22" ht="30" x14ac:dyDescent="0.25">
      <c r="A427" s="27" t="str">
        <f>IF(ISBLANK(N427)=TRUE,"Pending","Done")</f>
        <v>Pending</v>
      </c>
      <c r="B427" s="27" t="s">
        <v>1996</v>
      </c>
      <c r="C427" s="27">
        <v>97</v>
      </c>
      <c r="D427" s="27" t="str">
        <f>SUBSTITUTE(TRIM(RIGHT(SUBSTITUTE(IF(RIGHT(B427,1)="/",LEFT(B427,LEN(B427)-1),B427),"/",REPT(" ",LEN(B427))),LEN(B427))),"-"," ")</f>
        <v>princess donnas bday bash</v>
      </c>
      <c r="E427" s="27" t="s">
        <v>844</v>
      </c>
      <c r="F427" s="27" t="s">
        <v>1997</v>
      </c>
      <c r="G427" s="27" t="s">
        <v>70</v>
      </c>
      <c r="H427" s="27" t="s">
        <v>2846</v>
      </c>
      <c r="I427" s="27" t="s">
        <v>2845</v>
      </c>
      <c r="J427" s="27">
        <v>3</v>
      </c>
      <c r="K427" s="27" t="s">
        <v>1685</v>
      </c>
      <c r="L427" s="27" t="s">
        <v>1685</v>
      </c>
      <c r="M427" s="27"/>
      <c r="N427" s="27"/>
      <c r="O427" s="27"/>
      <c r="P427" s="27"/>
      <c r="Q427" s="27" t="str" cm="1">
        <f t="array" ref="Q427">_xlfn.REGEXEXTRACT(B427,"(?&lt;=//)[^/]+")</f>
        <v>bdsmstreak.com</v>
      </c>
      <c r="R427" s="27" t="s">
        <v>685</v>
      </c>
      <c r="S427" s="27" t="s">
        <v>1750</v>
      </c>
      <c r="T427" s="27" t="str" cm="1">
        <f t="array" ref="T427">IF(S427&lt;&gt;"NotApplicable",_xlfn.REGEXEXTRACT(S427,"\d+(?=p)"),"NotApplicable")</f>
        <v>NotApplicable</v>
      </c>
      <c r="U427" s="27" t="s">
        <v>1750</v>
      </c>
      <c r="V427" s="27" t="b">
        <f>ISNUMBER(SEARCH(",",F427))</f>
        <v>1</v>
      </c>
    </row>
    <row r="428" spans="1:22" ht="30" x14ac:dyDescent="0.25">
      <c r="A428" s="27" t="str">
        <f>IF(ISBLANK(N428)=TRUE,"Pending","Done")</f>
        <v>Pending</v>
      </c>
      <c r="B428" s="27" t="s">
        <v>1897</v>
      </c>
      <c r="C428" s="27">
        <v>37</v>
      </c>
      <c r="D428" s="27" t="str">
        <f>SUBSTITUTE(TRIM(RIGHT(SUBSTITUTE(IF(RIGHT(B428,1)="/",LEFT(B428,LEN(B428)-1),B428),"/",REPT(" ",LEN(B428))),LEN(B428))),"-"," ")</f>
        <v>jaelyn fox sas</v>
      </c>
      <c r="E428" s="27" t="s">
        <v>845</v>
      </c>
      <c r="F428" s="27" t="s">
        <v>1898</v>
      </c>
      <c r="G428" s="27" t="s">
        <v>70</v>
      </c>
      <c r="H428" s="27" t="s">
        <v>2848</v>
      </c>
      <c r="I428" s="27" t="s">
        <v>2847</v>
      </c>
      <c r="J428" s="27">
        <v>0</v>
      </c>
      <c r="K428" s="27" t="s">
        <v>1141</v>
      </c>
      <c r="L428" s="27"/>
      <c r="M428" s="27"/>
      <c r="N428" s="27"/>
      <c r="O428" s="27"/>
      <c r="P428" s="27"/>
      <c r="Q428" s="27" t="str" cm="1">
        <f t="array" ref="Q428">_xlfn.REGEXEXTRACT(B428,"(?&lt;=//)[^/]+")</f>
        <v>bdsmstreak.com</v>
      </c>
      <c r="R428" s="27" t="s">
        <v>685</v>
      </c>
      <c r="S428" s="27" t="s">
        <v>1750</v>
      </c>
      <c r="T428" s="27" t="str" cm="1">
        <f t="array" ref="T428">IF(S428&lt;&gt;"NotApplicable",_xlfn.REGEXEXTRACT(S428,"\d+(?=p)"),"NotApplicable")</f>
        <v>NotApplicable</v>
      </c>
      <c r="U428" s="27" t="s">
        <v>1750</v>
      </c>
      <c r="V428" s="27" t="b">
        <f>ISNUMBER(SEARCH(",",F428))</f>
        <v>0</v>
      </c>
    </row>
    <row r="429" spans="1:22" ht="30" x14ac:dyDescent="0.25">
      <c r="A429" s="27" t="str">
        <f>IF(ISBLANK(N429)=TRUE,"Pending","Done")</f>
        <v>Pending</v>
      </c>
      <c r="B429" s="27" t="s">
        <v>1784</v>
      </c>
      <c r="C429" s="27">
        <v>50</v>
      </c>
      <c r="D429" s="27" t="str">
        <f>SUBSTITUTE(TRIM(RIGHT(SUBSTITUTE(IF(RIGHT(B429,1)="/",LEFT(B429,LEN(B429)-1),B429),"/",REPT(" ",LEN(B429))),LEN(B429))),"-"," ")</f>
        <v>college girl ravished</v>
      </c>
      <c r="E429" s="27" t="s">
        <v>845</v>
      </c>
      <c r="F429" s="27" t="s">
        <v>1785</v>
      </c>
      <c r="G429" s="27" t="s">
        <v>70</v>
      </c>
      <c r="H429" s="27" t="s">
        <v>2832</v>
      </c>
      <c r="I429" s="27" t="s">
        <v>2832</v>
      </c>
      <c r="J429" s="27">
        <v>0</v>
      </c>
      <c r="K429" s="27" t="s">
        <v>1141</v>
      </c>
      <c r="L429" s="27"/>
      <c r="M429" s="27"/>
      <c r="N429" s="27"/>
      <c r="O429" s="27"/>
      <c r="P429" s="27"/>
      <c r="Q429" s="27" t="str" cm="1">
        <f t="array" ref="Q429">_xlfn.REGEXEXTRACT(B429,"(?&lt;=//)[^/]+")</f>
        <v>bdsmstreak.com</v>
      </c>
      <c r="R429" s="27" t="s">
        <v>685</v>
      </c>
      <c r="S429" s="27" t="s">
        <v>1750</v>
      </c>
      <c r="T429" s="27" t="str" cm="1">
        <f t="array" ref="T429">IF(S429&lt;&gt;"NotApplicable",_xlfn.REGEXEXTRACT(S429,"\d+(?=p)"),"NotApplicable")</f>
        <v>NotApplicable</v>
      </c>
      <c r="U429" s="27" t="s">
        <v>1750</v>
      </c>
      <c r="V429" s="27" t="b">
        <f>ISNUMBER(SEARCH(",",F429))</f>
        <v>0</v>
      </c>
    </row>
    <row r="430" spans="1:22" ht="30" x14ac:dyDescent="0.25">
      <c r="A430" s="27" t="str">
        <f>IF(ISBLANK(N430)=TRUE,"Pending","Done")</f>
        <v>Pending</v>
      </c>
      <c r="B430" s="27" t="s">
        <v>1921</v>
      </c>
      <c r="C430" s="27">
        <v>53</v>
      </c>
      <c r="D430" s="27" t="str">
        <f>SUBSTITUTE(TRIM(RIGHT(SUBSTITUTE(IF(RIGHT(B430,1)="/",LEFT(B430,LEN(B430)-1),B430),"/",REPT(" ",LEN(B430))),LEN(B430))),"-"," ")</f>
        <v>mark davis and jade marxxx</v>
      </c>
      <c r="E430" s="27" t="s">
        <v>845</v>
      </c>
      <c r="F430" s="27" t="s">
        <v>1922</v>
      </c>
      <c r="G430" s="27" t="s">
        <v>70</v>
      </c>
      <c r="H430" s="27" t="s">
        <v>2849</v>
      </c>
      <c r="I430" s="27" t="s">
        <v>2849</v>
      </c>
      <c r="J430" s="27">
        <v>2</v>
      </c>
      <c r="K430" s="27" t="s">
        <v>1765</v>
      </c>
      <c r="L430" s="27"/>
      <c r="M430" s="27"/>
      <c r="N430" s="27"/>
      <c r="O430" s="27"/>
      <c r="P430" s="27"/>
      <c r="Q430" s="27" t="str" cm="1">
        <f t="array" ref="Q430">_xlfn.REGEXEXTRACT(B430,"(?&lt;=//)[^/]+")</f>
        <v>bdsmmansion.com</v>
      </c>
      <c r="R430" s="27" t="s">
        <v>685</v>
      </c>
      <c r="S430" s="27" t="s">
        <v>1750</v>
      </c>
      <c r="T430" s="27" t="str" cm="1">
        <f t="array" ref="T430">IF(S430&lt;&gt;"NotApplicable",_xlfn.REGEXEXTRACT(S430,"\d+(?=p)"),"NotApplicable")</f>
        <v>NotApplicable</v>
      </c>
      <c r="U430" s="27" t="s">
        <v>1750</v>
      </c>
      <c r="V430" s="27" t="b">
        <f>ISNUMBER(SEARCH(",",F430))</f>
        <v>0</v>
      </c>
    </row>
    <row r="431" spans="1:22" ht="30" x14ac:dyDescent="0.25">
      <c r="A431" s="27" t="str">
        <f>IF(ISBLANK(N431)=TRUE,"Pending","Done")</f>
        <v>Pending</v>
      </c>
      <c r="B431" s="27" t="s">
        <v>1762</v>
      </c>
      <c r="C431" s="27">
        <v>46</v>
      </c>
      <c r="D431" s="27" t="str">
        <f>SUBSTITUTE(TRIM(RIGHT(SUBSTITUTE(IF(RIGHT(B431,1)="/",LEFT(B431,LEN(B431)-1),B431),"/",REPT(" ",LEN(B431))),LEN(B431))),"-"," ")</f>
        <v>30541</v>
      </c>
      <c r="E431" s="27" t="s">
        <v>1663</v>
      </c>
      <c r="F431" s="27" t="s">
        <v>180</v>
      </c>
      <c r="G431" s="27" t="s">
        <v>70</v>
      </c>
      <c r="H431" s="27" t="s">
        <v>2180</v>
      </c>
      <c r="I431" s="27" t="s">
        <v>2180</v>
      </c>
      <c r="J431" s="27">
        <v>0</v>
      </c>
      <c r="K431" s="27" t="s">
        <v>1141</v>
      </c>
      <c r="L431" s="27"/>
      <c r="M431" s="27"/>
      <c r="N431" s="27"/>
      <c r="O431" s="27"/>
      <c r="P431" s="27"/>
      <c r="Q431" s="27" t="str" cm="1">
        <f t="array" ref="Q431">_xlfn.REGEXEXTRACT(B431,"(?&lt;=//)[^/]+")</f>
        <v>www.twistedfactory.com</v>
      </c>
      <c r="R431" s="27" t="s">
        <v>685</v>
      </c>
      <c r="S431" s="27" t="s">
        <v>1750</v>
      </c>
      <c r="T431" s="27" t="str" cm="1">
        <f t="array" ref="T431">IF(S431&lt;&gt;"NotApplicable",_xlfn.REGEXEXTRACT(S431,"\d+(?=p)"),"NotApplicable")</f>
        <v>NotApplicable</v>
      </c>
      <c r="U431" s="27" t="s">
        <v>1750</v>
      </c>
      <c r="V431" s="27" t="b">
        <f>ISNUMBER(SEARCH(",",F431))</f>
        <v>0</v>
      </c>
    </row>
    <row r="432" spans="1:22" ht="30" x14ac:dyDescent="0.25">
      <c r="A432" s="27" t="str">
        <f>IF(ISBLANK(N432)=TRUE,"Pending","Done")</f>
        <v>Pending</v>
      </c>
      <c r="B432" s="27" t="s">
        <v>1763</v>
      </c>
      <c r="C432" s="27">
        <v>90</v>
      </c>
      <c r="D432" s="27" t="str">
        <f>SUBSTITUTE(TRIM(RIGHT(SUBSTITUTE(IF(RIGHT(B432,1)="/",LEFT(B432,LEN(B432)-1),B432),"/",REPT(" ",LEN(B432))),LEN(B432))),"-"," ")</f>
        <v>34259</v>
      </c>
      <c r="E432" s="27" t="s">
        <v>1663</v>
      </c>
      <c r="F432" s="27" t="s">
        <v>1764</v>
      </c>
      <c r="G432" s="27" t="s">
        <v>70</v>
      </c>
      <c r="H432" s="27" t="s">
        <v>2208</v>
      </c>
      <c r="I432" s="27" t="s">
        <v>2208</v>
      </c>
      <c r="J432" s="27">
        <v>1</v>
      </c>
      <c r="K432" s="27" t="s">
        <v>1765</v>
      </c>
      <c r="L432" s="27"/>
      <c r="M432" s="27"/>
      <c r="N432" s="27"/>
      <c r="O432" s="27"/>
      <c r="P432" s="27"/>
      <c r="Q432" s="27" t="str" cm="1">
        <f t="array" ref="Q432">_xlfn.REGEXEXTRACT(B432,"(?&lt;=//)[^/]+")</f>
        <v>www.twistedfactory.com</v>
      </c>
      <c r="R432" s="27" t="s">
        <v>685</v>
      </c>
      <c r="S432" s="27" t="s">
        <v>1750</v>
      </c>
      <c r="T432" s="27" t="str" cm="1">
        <f t="array" ref="T432">IF(S432&lt;&gt;"NotApplicable",_xlfn.REGEXEXTRACT(S432,"\d+(?=p)"),"NotApplicable")</f>
        <v>NotApplicable</v>
      </c>
      <c r="U432" s="27" t="s">
        <v>1750</v>
      </c>
      <c r="V432" s="27" t="b">
        <f>ISNUMBER(SEARCH(",",F432))</f>
        <v>0</v>
      </c>
    </row>
    <row r="433" spans="1:22" ht="30" x14ac:dyDescent="0.25">
      <c r="A433" s="27" t="str">
        <f>IF(ISBLANK(N433)=TRUE,"Pending","Done")</f>
        <v>Pending</v>
      </c>
      <c r="B433" s="27" t="s">
        <v>1805</v>
      </c>
      <c r="C433" s="27">
        <v>54</v>
      </c>
      <c r="D433" s="27" t="str">
        <f>SUBSTITUTE(TRIM(RIGHT(SUBSTITUTE(IF(RIGHT(B433,1)="/",LEFT(B433,LEN(B433)-1),B433),"/",REPT(" ",LEN(B433))),LEN(B433))),"-"," ")</f>
        <v>34846</v>
      </c>
      <c r="E433" s="27" t="s">
        <v>1663</v>
      </c>
      <c r="F433" s="27" t="s">
        <v>1806</v>
      </c>
      <c r="G433" s="27" t="s">
        <v>70</v>
      </c>
      <c r="H433" s="27" t="s">
        <v>2188</v>
      </c>
      <c r="I433" s="27" t="s">
        <v>2188</v>
      </c>
      <c r="J433" s="27">
        <v>0</v>
      </c>
      <c r="K433" s="27" t="s">
        <v>1807</v>
      </c>
      <c r="L433" s="27"/>
      <c r="M433" s="27"/>
      <c r="N433" s="27"/>
      <c r="O433" s="27"/>
      <c r="P433" s="27"/>
      <c r="Q433" s="27" t="str" cm="1">
        <f t="array" ref="Q433">_xlfn.REGEXEXTRACT(B433,"(?&lt;=//)[^/]+")</f>
        <v>www.twistedfactory.com</v>
      </c>
      <c r="R433" s="27" t="s">
        <v>685</v>
      </c>
      <c r="S433" s="27" t="s">
        <v>1750</v>
      </c>
      <c r="T433" s="27" t="str" cm="1">
        <f t="array" ref="T433">IF(S433&lt;&gt;"NotApplicable",_xlfn.REGEXEXTRACT(S433,"\d+(?=p)"),"NotApplicable")</f>
        <v>NotApplicable</v>
      </c>
      <c r="U433" s="27" t="s">
        <v>1750</v>
      </c>
      <c r="V433" s="27" t="b">
        <f>ISNUMBER(SEARCH(",",F433))</f>
        <v>0</v>
      </c>
    </row>
    <row r="434" spans="1:22" ht="30" x14ac:dyDescent="0.25">
      <c r="A434" s="27" t="str">
        <f>IF(ISBLANK(N434)=TRUE,"Pending","Done")</f>
        <v>Pending</v>
      </c>
      <c r="B434" s="27" t="s">
        <v>1811</v>
      </c>
      <c r="C434" s="27">
        <v>45</v>
      </c>
      <c r="D434" s="27" t="str">
        <f>SUBSTITUTE(TRIM(RIGHT(SUBSTITUTE(IF(RIGHT(B434,1)="/",LEFT(B434,LEN(B434)-1),B434),"/",REPT(" ",LEN(B434))),LEN(B434))),"-"," ")</f>
        <v>32113</v>
      </c>
      <c r="E434" s="27" t="s">
        <v>1663</v>
      </c>
      <c r="F434" s="27" t="s">
        <v>1812</v>
      </c>
      <c r="G434" s="27" t="s">
        <v>70</v>
      </c>
      <c r="H434" s="27" t="s">
        <v>2178</v>
      </c>
      <c r="I434" s="27" t="s">
        <v>2178</v>
      </c>
      <c r="J434" s="27">
        <v>0</v>
      </c>
      <c r="K434" s="27" t="s">
        <v>1141</v>
      </c>
      <c r="L434" s="27"/>
      <c r="M434" s="27"/>
      <c r="N434" s="27"/>
      <c r="O434" s="27"/>
      <c r="P434" s="27"/>
      <c r="Q434" s="27" t="str" cm="1">
        <f t="array" ref="Q434">_xlfn.REGEXEXTRACT(B434,"(?&lt;=//)[^/]+")</f>
        <v>www.twistedfactory.com</v>
      </c>
      <c r="R434" s="27" t="s">
        <v>685</v>
      </c>
      <c r="S434" s="27" t="s">
        <v>1750</v>
      </c>
      <c r="T434" s="27" t="str" cm="1">
        <f t="array" ref="T434">IF(S434&lt;&gt;"NotApplicable",_xlfn.REGEXEXTRACT(S434,"\d+(?=p)"),"NotApplicable")</f>
        <v>NotApplicable</v>
      </c>
      <c r="U434" s="27" t="s">
        <v>1750</v>
      </c>
      <c r="V434" s="27" t="b">
        <f>ISNUMBER(SEARCH(",",F434))</f>
        <v>1</v>
      </c>
    </row>
    <row r="435" spans="1:22" ht="30" x14ac:dyDescent="0.25">
      <c r="A435" s="27" t="str">
        <f>IF(ISBLANK(N435)=TRUE,"Pending","Done")</f>
        <v>Pending</v>
      </c>
      <c r="B435" s="27" t="s">
        <v>1862</v>
      </c>
      <c r="C435" s="27">
        <v>70</v>
      </c>
      <c r="D435" s="27" t="str">
        <f>SUBSTITUTE(TRIM(RIGHT(SUBSTITUTE(IF(RIGHT(B435,1)="/",LEFT(B435,LEN(B435)-1),B435),"/",REPT(" ",LEN(B435))),LEN(B435))),"-"," ")</f>
        <v>34426</v>
      </c>
      <c r="E435" s="27" t="s">
        <v>1663</v>
      </c>
      <c r="F435" s="27" t="s">
        <v>1863</v>
      </c>
      <c r="G435" s="27" t="s">
        <v>70</v>
      </c>
      <c r="H435" s="27" t="s">
        <v>2199</v>
      </c>
      <c r="I435" s="27" t="s">
        <v>2199</v>
      </c>
      <c r="J435" s="27">
        <v>3</v>
      </c>
      <c r="K435" s="27" t="s">
        <v>1864</v>
      </c>
      <c r="L435" s="27"/>
      <c r="M435" s="27"/>
      <c r="N435" s="27"/>
      <c r="O435" s="27"/>
      <c r="P435" s="27"/>
      <c r="Q435" s="27" t="str" cm="1">
        <f t="array" ref="Q435">_xlfn.REGEXEXTRACT(B435,"(?&lt;=//)[^/]+")</f>
        <v>www.twistedfactory.com</v>
      </c>
      <c r="R435" s="27" t="s">
        <v>685</v>
      </c>
      <c r="S435" s="27" t="s">
        <v>1750</v>
      </c>
      <c r="T435" s="27" t="str" cm="1">
        <f t="array" ref="T435">IF(S435&lt;&gt;"NotApplicable",_xlfn.REGEXEXTRACT(S435,"\d+(?=p)"),"NotApplicable")</f>
        <v>NotApplicable</v>
      </c>
      <c r="U435" s="27" t="s">
        <v>1750</v>
      </c>
      <c r="V435" s="27" t="b">
        <f>ISNUMBER(SEARCH(",",F435))</f>
        <v>0</v>
      </c>
    </row>
    <row r="436" spans="1:22" ht="45" x14ac:dyDescent="0.25">
      <c r="A436" s="27" t="str">
        <f>IF(ISBLANK(N436)=TRUE,"Pending","Done")</f>
        <v>Pending</v>
      </c>
      <c r="B436" s="27" t="s">
        <v>1896</v>
      </c>
      <c r="C436" s="27">
        <v>62</v>
      </c>
      <c r="D436" s="27" t="str">
        <f>SUBSTITUTE(TRIM(RIGHT(SUBSTITUTE(IF(RIGHT(B436,1)="/",LEFT(B436,LEN(B436)-1),B436),"/",REPT(" ",LEN(B436))),LEN(B436))),"-"," ")</f>
        <v>35252</v>
      </c>
      <c r="E436" s="27" t="s">
        <v>1663</v>
      </c>
      <c r="F436" s="27" t="s">
        <v>169</v>
      </c>
      <c r="G436" s="27" t="s">
        <v>70</v>
      </c>
      <c r="H436" s="27" t="s">
        <v>2193</v>
      </c>
      <c r="I436" s="27" t="s">
        <v>2193</v>
      </c>
      <c r="J436" s="27">
        <v>0</v>
      </c>
      <c r="K436" s="27" t="s">
        <v>1141</v>
      </c>
      <c r="L436" s="27"/>
      <c r="M436" s="27"/>
      <c r="N436" s="27"/>
      <c r="O436" s="27"/>
      <c r="P436" s="27"/>
      <c r="Q436" s="27" t="str" cm="1">
        <f t="array" ref="Q436">_xlfn.REGEXEXTRACT(B436,"(?&lt;=//)[^/]+")</f>
        <v>www.twistedfactory.com</v>
      </c>
      <c r="R436" s="27" t="s">
        <v>685</v>
      </c>
      <c r="S436" s="27" t="s">
        <v>1750</v>
      </c>
      <c r="T436" s="27" t="str" cm="1">
        <f t="array" ref="T436">IF(S436&lt;&gt;"NotApplicable",_xlfn.REGEXEXTRACT(S436,"\d+(?=p)"),"NotApplicable")</f>
        <v>NotApplicable</v>
      </c>
      <c r="U436" s="27" t="s">
        <v>1750</v>
      </c>
      <c r="V436" s="27" t="b">
        <f>ISNUMBER(SEARCH(",",F436))</f>
        <v>0</v>
      </c>
    </row>
    <row r="437" spans="1:22" ht="30" x14ac:dyDescent="0.25">
      <c r="A437" s="27" t="str">
        <f>IF(ISBLANK(N437)=TRUE,"Pending","Done")</f>
        <v>Pending</v>
      </c>
      <c r="B437" s="27" t="s">
        <v>1918</v>
      </c>
      <c r="C437" s="27">
        <v>63</v>
      </c>
      <c r="D437" s="27" t="str">
        <f>SUBSTITUTE(TRIM(RIGHT(SUBSTITUTE(IF(RIGHT(B437,1)="/",LEFT(B437,LEN(B437)-1),B437),"/",REPT(" ",LEN(B437))),LEN(B437))),"-"," ")</f>
        <v>35154</v>
      </c>
      <c r="E437" s="27" t="s">
        <v>1663</v>
      </c>
      <c r="F437" s="27" t="s">
        <v>1882</v>
      </c>
      <c r="G437" s="27" t="s">
        <v>70</v>
      </c>
      <c r="H437" s="27" t="s">
        <v>2195</v>
      </c>
      <c r="I437" s="27" t="s">
        <v>2195</v>
      </c>
      <c r="J437" s="27">
        <v>0</v>
      </c>
      <c r="K437" s="27" t="s">
        <v>1141</v>
      </c>
      <c r="L437" s="27"/>
      <c r="M437" s="27"/>
      <c r="N437" s="27"/>
      <c r="O437" s="27"/>
      <c r="P437" s="27"/>
      <c r="Q437" s="27" t="str" cm="1">
        <f t="array" ref="Q437">_xlfn.REGEXEXTRACT(B437,"(?&lt;=//)[^/]+")</f>
        <v>www.twistedfactory.com</v>
      </c>
      <c r="R437" s="27" t="s">
        <v>685</v>
      </c>
      <c r="S437" s="27" t="s">
        <v>1750</v>
      </c>
      <c r="T437" s="27" t="str" cm="1">
        <f t="array" ref="T437">IF(S437&lt;&gt;"NotApplicable",_xlfn.REGEXEXTRACT(S437,"\d+(?=p)"),"NotApplicable")</f>
        <v>NotApplicable</v>
      </c>
      <c r="U437" s="27" t="s">
        <v>1750</v>
      </c>
      <c r="V437" s="27" t="b">
        <f>ISNUMBER(SEARCH(",",F437))</f>
        <v>0</v>
      </c>
    </row>
    <row r="438" spans="1:22" ht="30" x14ac:dyDescent="0.25">
      <c r="A438" s="27" t="str">
        <f>IF(ISBLANK(N438)=TRUE,"Pending","Done")</f>
        <v>Pending</v>
      </c>
      <c r="B438" s="27" t="s">
        <v>1977</v>
      </c>
      <c r="C438" s="27">
        <v>58</v>
      </c>
      <c r="D438" s="27" t="str">
        <f>SUBSTITUTE(TRIM(RIGHT(SUBSTITUTE(IF(RIGHT(B438,1)="/",LEFT(B438,LEN(B438)-1),B438),"/",REPT(" ",LEN(B438))),LEN(B438))),"-"," ")</f>
        <v>35502</v>
      </c>
      <c r="E438" s="27" t="s">
        <v>1663</v>
      </c>
      <c r="F438" s="27" t="s">
        <v>1978</v>
      </c>
      <c r="G438" s="27" t="s">
        <v>70</v>
      </c>
      <c r="H438" s="27" t="s">
        <v>2190</v>
      </c>
      <c r="I438" s="27" t="s">
        <v>2190</v>
      </c>
      <c r="J438" s="27">
        <v>0</v>
      </c>
      <c r="K438" s="27" t="s">
        <v>1141</v>
      </c>
      <c r="L438" s="27"/>
      <c r="M438" s="27"/>
      <c r="N438" s="27"/>
      <c r="O438" s="27"/>
      <c r="P438" s="27"/>
      <c r="Q438" s="27" t="str" cm="1">
        <f t="array" ref="Q438">_xlfn.REGEXEXTRACT(B438,"(?&lt;=//)[^/]+")</f>
        <v>www.twistedfactory.com</v>
      </c>
      <c r="R438" s="27" t="s">
        <v>685</v>
      </c>
      <c r="S438" s="27" t="s">
        <v>1750</v>
      </c>
      <c r="T438" s="27" t="str" cm="1">
        <f t="array" ref="T438">IF(S438&lt;&gt;"NotApplicable",_xlfn.REGEXEXTRACT(S438,"\d+(?=p)"),"NotApplicable")</f>
        <v>NotApplicable</v>
      </c>
      <c r="U438" s="27" t="s">
        <v>1750</v>
      </c>
      <c r="V438" s="27" t="b">
        <f>ISNUMBER(SEARCH(",",F438))</f>
        <v>0</v>
      </c>
    </row>
    <row r="439" spans="1:22" ht="30" x14ac:dyDescent="0.25">
      <c r="A439" s="27" t="str">
        <f>IF(ISBLANK(N439)=TRUE,"Pending","Done")</f>
        <v>Pending</v>
      </c>
      <c r="B439" s="27" t="s">
        <v>2022</v>
      </c>
      <c r="C439" s="27">
        <v>68</v>
      </c>
      <c r="D439" s="27" t="str">
        <f>SUBSTITUTE(TRIM(RIGHT(SUBSTITUTE(IF(RIGHT(B439,1)="/",LEFT(B439,LEN(B439)-1),B439),"/",REPT(" ",LEN(B439))),LEN(B439))),"-"," ")</f>
        <v>35957</v>
      </c>
      <c r="E439" s="27" t="s">
        <v>1663</v>
      </c>
      <c r="F439" s="27" t="s">
        <v>1752</v>
      </c>
      <c r="G439" s="27" t="s">
        <v>70</v>
      </c>
      <c r="H439" s="27" t="s">
        <v>2198</v>
      </c>
      <c r="I439" s="27" t="s">
        <v>2198</v>
      </c>
      <c r="J439" s="27">
        <v>1</v>
      </c>
      <c r="K439" s="27" t="s">
        <v>1607</v>
      </c>
      <c r="L439" s="27"/>
      <c r="M439" s="27"/>
      <c r="N439" s="27"/>
      <c r="O439" s="27"/>
      <c r="P439" s="27"/>
      <c r="Q439" s="27" t="str" cm="1">
        <f t="array" ref="Q439">_xlfn.REGEXEXTRACT(B439,"(?&lt;=//)[^/]+")</f>
        <v>www.twistedfactory.com</v>
      </c>
      <c r="R439" s="27" t="s">
        <v>685</v>
      </c>
      <c r="S439" s="27" t="s">
        <v>1750</v>
      </c>
      <c r="T439" s="27" t="str" cm="1">
        <f t="array" ref="T439">IF(S439&lt;&gt;"NotApplicable",_xlfn.REGEXEXTRACT(S439,"\d+(?=p)"),"NotApplicable")</f>
        <v>NotApplicable</v>
      </c>
      <c r="U439" s="27" t="s">
        <v>1750</v>
      </c>
      <c r="V439" s="27" t="b">
        <f>ISNUMBER(SEARCH(",",F439))</f>
        <v>0</v>
      </c>
    </row>
    <row r="440" spans="1:22" ht="30" x14ac:dyDescent="0.25">
      <c r="A440" s="27" t="str">
        <f>IF(ISBLANK(N440)=TRUE,"Pending","Done")</f>
        <v>Pending</v>
      </c>
      <c r="B440" s="27" t="s">
        <v>2055</v>
      </c>
      <c r="C440" s="27">
        <v>56</v>
      </c>
      <c r="D440" s="27" t="str">
        <f>SUBSTITUTE(TRIM(RIGHT(SUBSTITUTE(IF(RIGHT(B440,1)="/",LEFT(B440,LEN(B440)-1),B440),"/",REPT(" ",LEN(B440))),LEN(B440))),"-"," ")</f>
        <v>30448</v>
      </c>
      <c r="E440" s="27" t="s">
        <v>1663</v>
      </c>
      <c r="F440" s="27" t="s">
        <v>2056</v>
      </c>
      <c r="G440" s="27" t="s">
        <v>70</v>
      </c>
      <c r="H440" s="27" t="s">
        <v>2189</v>
      </c>
      <c r="I440" s="27" t="s">
        <v>2189</v>
      </c>
      <c r="J440" s="27">
        <v>0</v>
      </c>
      <c r="K440" s="27" t="s">
        <v>1141</v>
      </c>
      <c r="L440" s="27"/>
      <c r="M440" s="27"/>
      <c r="N440" s="27"/>
      <c r="O440" s="27"/>
      <c r="P440" s="27"/>
      <c r="Q440" s="27" t="str" cm="1">
        <f t="array" ref="Q440">_xlfn.REGEXEXTRACT(B440,"(?&lt;=//)[^/]+")</f>
        <v>www.twistedfactory.com</v>
      </c>
      <c r="R440" s="27" t="s">
        <v>685</v>
      </c>
      <c r="S440" s="27" t="s">
        <v>1750</v>
      </c>
      <c r="T440" s="27" t="str" cm="1">
        <f t="array" ref="T440">IF(S440&lt;&gt;"NotApplicable",_xlfn.REGEXEXTRACT(S440,"\d+(?=p)"),"NotApplicable")</f>
        <v>NotApplicable</v>
      </c>
      <c r="U440" s="27" t="s">
        <v>1750</v>
      </c>
      <c r="V440" s="27" t="b">
        <f>ISNUMBER(SEARCH(",",F440))</f>
        <v>0</v>
      </c>
    </row>
    <row r="441" spans="1:22" ht="30" x14ac:dyDescent="0.25">
      <c r="A441" s="27" t="str">
        <f>IF(ISBLANK(N441)=TRUE,"Pending","Done")</f>
        <v>Pending</v>
      </c>
      <c r="B441" s="27" t="s">
        <v>2100</v>
      </c>
      <c r="C441" s="27">
        <v>63</v>
      </c>
      <c r="D441" s="27" t="str">
        <f>SUBSTITUTE(TRIM(RIGHT(SUBSTITUTE(IF(RIGHT(B441,1)="/",LEFT(B441,LEN(B441)-1),B441),"/",REPT(" ",LEN(B441))),LEN(B441))),"-"," ")</f>
        <v>37110</v>
      </c>
      <c r="E441" s="27" t="s">
        <v>1663</v>
      </c>
      <c r="F441" s="27" t="s">
        <v>2101</v>
      </c>
      <c r="G441" s="27" t="s">
        <v>70</v>
      </c>
      <c r="H441" s="27" t="s">
        <v>2194</v>
      </c>
      <c r="I441" s="27" t="s">
        <v>2194</v>
      </c>
      <c r="J441" s="27">
        <v>2</v>
      </c>
      <c r="K441" s="27" t="s">
        <v>2102</v>
      </c>
      <c r="L441" s="27"/>
      <c r="M441" s="27"/>
      <c r="N441" s="27"/>
      <c r="O441" s="27"/>
      <c r="P441" s="27"/>
      <c r="Q441" s="27" t="str" cm="1">
        <f t="array" ref="Q441">_xlfn.REGEXEXTRACT(B441,"(?&lt;=//)[^/]+")</f>
        <v>www.twistedfactory.com</v>
      </c>
      <c r="R441" s="27" t="s">
        <v>685</v>
      </c>
      <c r="S441" s="27" t="s">
        <v>1750</v>
      </c>
      <c r="T441" s="27" t="str" cm="1">
        <f t="array" ref="T441">IF(S441&lt;&gt;"NotApplicable",_xlfn.REGEXEXTRACT(S441,"\d+(?=p)"),"NotApplicable")</f>
        <v>NotApplicable</v>
      </c>
      <c r="U441" s="27" t="s">
        <v>1750</v>
      </c>
      <c r="V441" s="27" t="b">
        <f>ISNUMBER(SEARCH(",",F441))</f>
        <v>0</v>
      </c>
    </row>
    <row r="442" spans="1:22" ht="30" x14ac:dyDescent="0.25">
      <c r="A442" s="27" t="str">
        <f>IF(ISBLANK(N442)=TRUE,"Pending","Done")</f>
        <v>Pending</v>
      </c>
      <c r="B442" s="27" t="s">
        <v>2004</v>
      </c>
      <c r="C442" s="27">
        <v>55</v>
      </c>
      <c r="D442" s="27" t="str">
        <f>SUBSTITUTE(TRIM(RIGHT(SUBSTITUTE(IF(RIGHT(B442,1)="/",LEFT(B442,LEN(B442)-1),B442),"/",REPT(" ",LEN(B442))),LEN(B442))),"-"," ")</f>
        <v>sex and submission pushing limits with hardcore bdsm sex</v>
      </c>
      <c r="E442" s="27" t="s">
        <v>845</v>
      </c>
      <c r="F442" s="27" t="s">
        <v>1437</v>
      </c>
      <c r="G442" s="27" t="s">
        <v>70</v>
      </c>
      <c r="H442" s="27" t="s">
        <v>2851</v>
      </c>
      <c r="I442" s="27" t="s">
        <v>2850</v>
      </c>
      <c r="J442" s="27">
        <v>1</v>
      </c>
      <c r="K442" s="27" t="s">
        <v>1765</v>
      </c>
      <c r="L442" s="27"/>
      <c r="M442" s="27"/>
      <c r="N442" s="27"/>
      <c r="O442" s="27"/>
      <c r="P442" s="27"/>
      <c r="Q442" s="27" t="str" cm="1">
        <f t="array" ref="Q442">_xlfn.REGEXEXTRACT(B442,"(?&lt;=//)[^/]+")</f>
        <v>hcbdsm.com</v>
      </c>
      <c r="R442" s="27" t="s">
        <v>685</v>
      </c>
      <c r="S442" s="27" t="s">
        <v>1750</v>
      </c>
      <c r="T442" s="27" t="str" cm="1">
        <f t="array" ref="T442">IF(S442&lt;&gt;"NotApplicable",_xlfn.REGEXEXTRACT(S442,"\d+(?=p)"),"NotApplicable")</f>
        <v>NotApplicable</v>
      </c>
      <c r="U442" s="27" t="s">
        <v>1750</v>
      </c>
      <c r="V442" s="27" t="b">
        <f>ISNUMBER(SEARCH(",",F442))</f>
        <v>0</v>
      </c>
    </row>
    <row r="443" spans="1:22" ht="30" x14ac:dyDescent="0.25">
      <c r="A443" s="27" t="str">
        <f>IF(ISBLANK(N443)=TRUE,"Pending","Done")</f>
        <v>Pending</v>
      </c>
      <c r="B443" s="27" t="s">
        <v>1902</v>
      </c>
      <c r="C443" s="27">
        <v>63</v>
      </c>
      <c r="D443" s="27" t="str">
        <f>SUBSTITUTE(TRIM(RIGHT(SUBSTITUTE(IF(RIGHT(B443,1)="/",LEFT(B443,LEN(B443)-1),B443),"/",REPT(" ",LEN(B443))),LEN(B443))),"-"," ")</f>
        <v>10760</v>
      </c>
      <c r="E443" s="27" t="s">
        <v>845</v>
      </c>
      <c r="F443" s="27" t="s">
        <v>1903</v>
      </c>
      <c r="G443" s="27" t="s">
        <v>70</v>
      </c>
      <c r="H443" s="27" t="s">
        <v>2192</v>
      </c>
      <c r="I443" s="27" t="s">
        <v>2192</v>
      </c>
      <c r="J443" s="27">
        <v>3</v>
      </c>
      <c r="K443" s="27" t="s">
        <v>1904</v>
      </c>
      <c r="L443" s="27"/>
      <c r="M443" s="27"/>
      <c r="N443" s="27"/>
      <c r="O443" s="27"/>
      <c r="P443" s="27"/>
      <c r="Q443" s="27" t="str" cm="1">
        <f t="array" ref="Q443">_xlfn.REGEXEXTRACT(B443,"(?&lt;=//)[^/]+")</f>
        <v>www.kink.com</v>
      </c>
      <c r="R443" s="27" t="s">
        <v>685</v>
      </c>
      <c r="S443" s="27" t="s">
        <v>1750</v>
      </c>
      <c r="T443" s="27" t="str" cm="1">
        <f t="array" ref="T443">IF(S443&lt;&gt;"NotApplicable",_xlfn.REGEXEXTRACT(S443,"\d+(?=p)"),"NotApplicable")</f>
        <v>NotApplicable</v>
      </c>
      <c r="U443" s="27" t="s">
        <v>1750</v>
      </c>
      <c r="V443" s="27" t="b">
        <f>ISNUMBER(SEARCH(",",F443))</f>
        <v>0</v>
      </c>
    </row>
    <row r="444" spans="1:22" ht="30" x14ac:dyDescent="0.25">
      <c r="A444" s="27" t="str">
        <f>IF(ISBLANK(N444)=TRUE,"Pending","Done")</f>
        <v>Pending</v>
      </c>
      <c r="B444" s="27" t="s">
        <v>2417</v>
      </c>
      <c r="C444" s="27">
        <v>47</v>
      </c>
      <c r="D444" s="27" t="str">
        <f>SUBSTITUTE(TRIM(RIGHT(SUBSTITUTE(IF(RIGHT(B444,1)="/",LEFT(B444,LEN(B444)-1),B444),"/",REPT(" ",LEN(B444))),LEN(B444))),"-"," ")</f>
        <v>sex and submission princess of kink</v>
      </c>
      <c r="E444" s="27" t="s">
        <v>845</v>
      </c>
      <c r="F444" s="27" t="s">
        <v>140</v>
      </c>
      <c r="G444" s="27" t="s">
        <v>70</v>
      </c>
      <c r="H444" s="27" t="s">
        <v>2416</v>
      </c>
      <c r="I444" s="27" t="s">
        <v>2418</v>
      </c>
      <c r="J444" s="27" t="s">
        <v>1750</v>
      </c>
      <c r="K444" s="27" t="s">
        <v>1750</v>
      </c>
      <c r="L444" s="27" t="s">
        <v>543</v>
      </c>
      <c r="M444" s="27" t="s">
        <v>392</v>
      </c>
      <c r="N444" s="27"/>
      <c r="O444" s="27"/>
      <c r="P444" s="27" t="s">
        <v>816</v>
      </c>
      <c r="Q444" s="27" t="str" cm="1">
        <f t="array" ref="Q444">_xlfn.REGEXEXTRACT(B444,"(?&lt;=//)[^/]+")</f>
        <v>bdsmstreak.com</v>
      </c>
      <c r="R444" s="27" t="s">
        <v>685</v>
      </c>
      <c r="S444" s="27" t="s">
        <v>1750</v>
      </c>
      <c r="T444" s="27" t="str" cm="1">
        <f t="array" ref="T444">IF(S444&lt;&gt;"NotApplicable",_xlfn.REGEXEXTRACT(S444,"\d+(?=p)"),"NotApplicable")</f>
        <v>NotApplicable</v>
      </c>
      <c r="U444" s="27" t="s">
        <v>1750</v>
      </c>
      <c r="V444" s="27" t="b">
        <f>ISNUMBER(SEARCH(",",F444))</f>
        <v>0</v>
      </c>
    </row>
    <row r="445" spans="1:22" ht="30" x14ac:dyDescent="0.25">
      <c r="A445" s="27" t="str">
        <f>IF(ISBLANK(N445)=TRUE,"Pending","Done")</f>
        <v>Pending</v>
      </c>
      <c r="B445" s="27" t="s">
        <v>2076</v>
      </c>
      <c r="C445" s="27">
        <v>57</v>
      </c>
      <c r="D445" s="27" t="str">
        <f>SUBSTITUTE(TRIM(RIGHT(SUBSTITUTE(IF(RIGHT(B445,1)="/",LEFT(B445,LEN(B445)-1),B445),"/",REPT(" ",LEN(B445))),LEN(B445))),"-"," ")</f>
        <v>sex and submission the night nurse dani daniels</v>
      </c>
      <c r="E445" s="27" t="s">
        <v>845</v>
      </c>
      <c r="F445" s="27" t="s">
        <v>446</v>
      </c>
      <c r="G445" s="27" t="s">
        <v>70</v>
      </c>
      <c r="H445" s="27" t="s">
        <v>2853</v>
      </c>
      <c r="I445" s="27" t="s">
        <v>2852</v>
      </c>
      <c r="J445" s="27">
        <v>4</v>
      </c>
      <c r="K445" s="27" t="s">
        <v>2077</v>
      </c>
      <c r="L445" s="27"/>
      <c r="M445" s="27"/>
      <c r="N445" s="27"/>
      <c r="O445" s="27"/>
      <c r="P445" s="27"/>
      <c r="Q445" s="27" t="str" cm="1">
        <f t="array" ref="Q445">_xlfn.REGEXEXTRACT(B445,"(?&lt;=//)[^/]+")</f>
        <v>bdsmstreak.com</v>
      </c>
      <c r="R445" s="27" t="s">
        <v>685</v>
      </c>
      <c r="S445" s="27" t="s">
        <v>1750</v>
      </c>
      <c r="T445" s="27" t="str" cm="1">
        <f t="array" ref="T445">IF(S445&lt;&gt;"NotApplicable",_xlfn.REGEXEXTRACT(S445,"\d+(?=p)"),"NotApplicable")</f>
        <v>NotApplicable</v>
      </c>
      <c r="U445" s="27" t="s">
        <v>1750</v>
      </c>
      <c r="V445" s="27" t="b">
        <f>ISNUMBER(SEARCH(",",F445))</f>
        <v>0</v>
      </c>
    </row>
    <row r="446" spans="1:22" ht="30" x14ac:dyDescent="0.25">
      <c r="A446" s="27" t="str">
        <f>IF(ISBLANK(N446)=TRUE,"Pending","Done")</f>
        <v>Pending</v>
      </c>
      <c r="B446" s="27" t="s">
        <v>1954</v>
      </c>
      <c r="C446" s="27">
        <v>61</v>
      </c>
      <c r="D446" s="27" t="str">
        <f>SUBSTITUTE(TRIM(RIGHT(SUBSTITUTE(IF(RIGHT(B446,1)="/",LEFT(B446,LEN(B446)-1),B446),"/",REPT(" ",LEN(B446))),LEN(B446))),"-"," ")</f>
        <v>no cuntry for dirty sluts</v>
      </c>
      <c r="E446" s="27" t="s">
        <v>845</v>
      </c>
      <c r="F446" s="27" t="s">
        <v>1955</v>
      </c>
      <c r="G446" s="27" t="s">
        <v>70</v>
      </c>
      <c r="H446" s="27" t="s">
        <v>2854</v>
      </c>
      <c r="I446" s="27" t="s">
        <v>2854</v>
      </c>
      <c r="J446" s="27">
        <v>2</v>
      </c>
      <c r="K446" s="27" t="s">
        <v>1677</v>
      </c>
      <c r="L446" s="27" t="s">
        <v>2855</v>
      </c>
      <c r="M446" s="27"/>
      <c r="N446" s="27"/>
      <c r="O446" s="27"/>
      <c r="P446" s="27"/>
      <c r="Q446" s="27" t="str" cm="1">
        <f t="array" ref="Q446">_xlfn.REGEXEXTRACT(B446,"(?&lt;=//)[^/]+")</f>
        <v>bdsmstreak.com</v>
      </c>
      <c r="R446" s="27" t="s">
        <v>685</v>
      </c>
      <c r="S446" s="27" t="s">
        <v>1750</v>
      </c>
      <c r="T446" s="27" t="str" cm="1">
        <f t="array" ref="T446">IF(S446&lt;&gt;"NotApplicable",_xlfn.REGEXEXTRACT(S446,"\d+(?=p)"),"NotApplicable")</f>
        <v>NotApplicable</v>
      </c>
      <c r="U446" s="27" t="s">
        <v>1750</v>
      </c>
      <c r="V446" s="27" t="b">
        <f>ISNUMBER(SEARCH(",",F446))</f>
        <v>1</v>
      </c>
    </row>
    <row r="447" spans="1:22" ht="30" x14ac:dyDescent="0.25">
      <c r="A447" s="27" t="str">
        <f>IF(ISBLANK(N447)=TRUE,"Pending","Done")</f>
        <v>Pending</v>
      </c>
      <c r="B447" s="27" t="s">
        <v>1959</v>
      </c>
      <c r="C447" s="27">
        <v>63</v>
      </c>
      <c r="D447" s="27" t="str">
        <f>SUBSTITUTE(TRIM(RIGHT(SUBSTITUTE(IF(RIGHT(B447,1)="/",LEFT(B447,LEN(B447)-1),B447),"/",REPT(" ",LEN(B447))),LEN(B447))),"-"," ")</f>
        <v>sex and submission obedient girl sensi pearl</v>
      </c>
      <c r="E447" s="27" t="s">
        <v>845</v>
      </c>
      <c r="F447" s="27" t="s">
        <v>189</v>
      </c>
      <c r="G447" s="27" t="s">
        <v>70</v>
      </c>
      <c r="H447" s="27" t="s">
        <v>2858</v>
      </c>
      <c r="I447" s="27" t="s">
        <v>2856</v>
      </c>
      <c r="J447" s="27">
        <v>3</v>
      </c>
      <c r="K447" s="27" t="s">
        <v>2857</v>
      </c>
      <c r="L447" s="27"/>
      <c r="M447" s="27"/>
      <c r="N447" s="27"/>
      <c r="O447" s="27"/>
      <c r="P447" s="27"/>
      <c r="Q447" s="27" t="str" cm="1">
        <f t="array" ref="Q447">_xlfn.REGEXEXTRACT(B447,"(?&lt;=//)[^/]+")</f>
        <v>bdsmstreak.com</v>
      </c>
      <c r="R447" s="27" t="s">
        <v>685</v>
      </c>
      <c r="S447" s="27" t="s">
        <v>1750</v>
      </c>
      <c r="T447" s="27" t="str" cm="1">
        <f t="array" ref="T447">IF(S447&lt;&gt;"NotApplicable",_xlfn.REGEXEXTRACT(S447,"\d+(?=p)"),"NotApplicable")</f>
        <v>NotApplicable</v>
      </c>
      <c r="U447" s="27" t="s">
        <v>1750</v>
      </c>
      <c r="V447" s="27" t="b">
        <f>ISNUMBER(SEARCH(",",F447))</f>
        <v>0</v>
      </c>
    </row>
    <row r="448" spans="1:22" ht="30" x14ac:dyDescent="0.25">
      <c r="A448" s="27" t="str">
        <f>IF(ISBLANK(N448)=TRUE,"Pending","Done")</f>
        <v>Pending</v>
      </c>
      <c r="B448" s="27" t="s">
        <v>2039</v>
      </c>
      <c r="C448" s="27">
        <v>70</v>
      </c>
      <c r="D448" s="27" t="str">
        <f>SUBSTITUTE(TRIM(RIGHT(SUBSTITUTE(IF(RIGHT(B448,1)="/",LEFT(B448,LEN(B448)-1),B448),"/",REPT(" ",LEN(B448))),LEN(B448))),"-"," ")</f>
        <v>sex and submission riley reid step sister slut featuring riley reid</v>
      </c>
      <c r="E448" s="27" t="s">
        <v>845</v>
      </c>
      <c r="F448" s="27" t="s">
        <v>2040</v>
      </c>
      <c r="G448" s="27" t="s">
        <v>70</v>
      </c>
      <c r="H448" s="27" t="s">
        <v>2860</v>
      </c>
      <c r="I448" s="27" t="s">
        <v>2859</v>
      </c>
      <c r="J448" s="27">
        <v>0</v>
      </c>
      <c r="K448" s="27" t="s">
        <v>1141</v>
      </c>
      <c r="L448" s="27"/>
      <c r="M448" s="27"/>
      <c r="N448" s="27"/>
      <c r="O448" s="27"/>
      <c r="P448" s="27"/>
      <c r="Q448" s="27" t="str" cm="1">
        <f t="array" ref="Q448">_xlfn.REGEXEXTRACT(B448,"(?&lt;=//)[^/]+")</f>
        <v>bdsmstreak.com</v>
      </c>
      <c r="R448" s="27" t="s">
        <v>685</v>
      </c>
      <c r="S448" s="27" t="s">
        <v>1750</v>
      </c>
      <c r="T448" s="27" t="str" cm="1">
        <f t="array" ref="T448">IF(S448&lt;&gt;"NotApplicable",_xlfn.REGEXEXTRACT(S448,"\d+(?=p)"),"NotApplicable")</f>
        <v>NotApplicable</v>
      </c>
      <c r="U448" s="27" t="s">
        <v>1750</v>
      </c>
      <c r="V448" s="27" t="b">
        <f>ISNUMBER(SEARCH(",",F448))</f>
        <v>0</v>
      </c>
    </row>
    <row r="449" spans="1:22" ht="30" x14ac:dyDescent="0.25">
      <c r="A449" s="27" t="str">
        <f>IF(ISBLANK(N449)=TRUE,"Pending","Done")</f>
        <v>Pending</v>
      </c>
      <c r="B449" s="27" t="s">
        <v>2043</v>
      </c>
      <c r="C449" s="27">
        <v>79</v>
      </c>
      <c r="D449" s="27" t="str">
        <f>SUBSTITUTE(TRIM(RIGHT(SUBSTITUTE(IF(RIGHT(B449,1)="/",LEFT(B449,LEN(B449)-1),B449),"/",REPT(" ",LEN(B449))),LEN(B449))),"-"," ")</f>
        <v>stolen goods</v>
      </c>
      <c r="E449" s="27" t="s">
        <v>845</v>
      </c>
      <c r="F449" s="27" t="s">
        <v>2044</v>
      </c>
      <c r="G449" s="27" t="s">
        <v>70</v>
      </c>
      <c r="H449" s="27" t="s">
        <v>2862</v>
      </c>
      <c r="I449" s="27" t="s">
        <v>2861</v>
      </c>
      <c r="J449" s="27">
        <v>0</v>
      </c>
      <c r="K449" s="27" t="s">
        <v>2045</v>
      </c>
      <c r="L449" s="27" t="s">
        <v>2045</v>
      </c>
      <c r="M449" s="27"/>
      <c r="N449" s="27"/>
      <c r="O449" s="27"/>
      <c r="P449" s="27"/>
      <c r="Q449" s="27" t="str" cm="1">
        <f t="array" ref="Q449">_xlfn.REGEXEXTRACT(B449,"(?&lt;=//)[^/]+")</f>
        <v>bdsmstreak.com</v>
      </c>
      <c r="R449" s="27" t="s">
        <v>685</v>
      </c>
      <c r="S449" s="27" t="s">
        <v>1750</v>
      </c>
      <c r="T449" s="27" t="str" cm="1">
        <f t="array" ref="T449">IF(S449&lt;&gt;"NotApplicable",_xlfn.REGEXEXTRACT(S449,"\d+(?=p)"),"NotApplicable")</f>
        <v>NotApplicable</v>
      </c>
      <c r="U449" s="27" t="s">
        <v>1750</v>
      </c>
      <c r="V449" s="27" t="b">
        <f>ISNUMBER(SEARCH(",",F449))</f>
        <v>1</v>
      </c>
    </row>
    <row r="450" spans="1:22" ht="30" x14ac:dyDescent="0.25">
      <c r="A450" s="27" t="str">
        <f>IF(ISBLANK(N450)=TRUE,"Pending","Done")</f>
        <v>Pending</v>
      </c>
      <c r="B450" s="27" t="s">
        <v>2023</v>
      </c>
      <c r="C450" s="27">
        <v>45</v>
      </c>
      <c r="D450" s="27" t="str">
        <f>SUBSTITUTE(TRIM(RIGHT(SUBSTITUTE(IF(RIGHT(B450,1)="/",LEFT(B450,LEN(B450)-1),B450),"/",REPT(" ",LEN(B450))),LEN(B450))),"-"," ")</f>
        <v>service session clit appreciation day</v>
      </c>
      <c r="E450" s="27" t="s">
        <v>1573</v>
      </c>
      <c r="F450" s="27" t="s">
        <v>2024</v>
      </c>
      <c r="G450" s="27" t="s">
        <v>70</v>
      </c>
      <c r="H450" s="27" t="s">
        <v>2863</v>
      </c>
      <c r="I450" s="27" t="s">
        <v>2863</v>
      </c>
      <c r="J450" s="27">
        <v>3</v>
      </c>
      <c r="K450" s="27" t="s">
        <v>2025</v>
      </c>
      <c r="L450" s="27" t="s">
        <v>2025</v>
      </c>
      <c r="M450" s="27"/>
      <c r="N450" s="27"/>
      <c r="O450" s="27"/>
      <c r="P450" s="27"/>
      <c r="Q450" s="27" t="str" cm="1">
        <f t="array" ref="Q450">_xlfn.REGEXEXTRACT(B450,"(?&lt;=//)[^/]+")</f>
        <v>hcbdsm.com</v>
      </c>
      <c r="R450" s="27" t="s">
        <v>685</v>
      </c>
      <c r="S450" s="27" t="s">
        <v>1750</v>
      </c>
      <c r="T450" s="27" t="str" cm="1">
        <f t="array" ref="T450">IF(S450&lt;&gt;"NotApplicable",_xlfn.REGEXEXTRACT(S450,"\d+(?=p)"),"NotApplicable")</f>
        <v>NotApplicable</v>
      </c>
      <c r="U450" s="27" t="s">
        <v>1750</v>
      </c>
      <c r="V450" s="27" t="b">
        <f>ISNUMBER(SEARCH(",",F450))</f>
        <v>1</v>
      </c>
    </row>
    <row r="451" spans="1:22" ht="30" x14ac:dyDescent="0.25">
      <c r="A451" s="27" t="str">
        <f>IF(ISBLANK(N451)=TRUE,"Pending","Done")</f>
        <v>Pending</v>
      </c>
      <c r="B451" s="27" t="s">
        <v>1926</v>
      </c>
      <c r="C451" s="27">
        <v>92</v>
      </c>
      <c r="D451" s="27" t="str">
        <f>SUBSTITUTE(TRIM(RIGHT(SUBSTITUTE(IF(RIGHT(B451,1)="/",LEFT(B451,LEN(B451)-1),B451),"/",REPT(" ",LEN(B451))),LEN(B451))),"-"," ")</f>
        <v>masochistic anal sluts suffer and squirt for bdsm party</v>
      </c>
      <c r="E451" s="27" t="s">
        <v>1573</v>
      </c>
      <c r="F451" s="27" t="s">
        <v>1927</v>
      </c>
      <c r="G451" s="27" t="s">
        <v>70</v>
      </c>
      <c r="H451" s="27" t="s">
        <v>2864</v>
      </c>
      <c r="I451" s="27" t="s">
        <v>2864</v>
      </c>
      <c r="J451" s="27">
        <v>3</v>
      </c>
      <c r="K451" s="27" t="s">
        <v>1928</v>
      </c>
      <c r="L451" s="27"/>
      <c r="M451" s="27"/>
      <c r="N451" s="27"/>
      <c r="O451" s="27"/>
      <c r="P451" s="27"/>
      <c r="Q451" s="27" t="str" cm="1">
        <f t="array" ref="Q451">_xlfn.REGEXEXTRACT(B451,"(?&lt;=//)[^/]+")</f>
        <v>bdsmmansion.com</v>
      </c>
      <c r="R451" s="27" t="s">
        <v>685</v>
      </c>
      <c r="S451" s="27" t="s">
        <v>1750</v>
      </c>
      <c r="T451" s="27" t="str" cm="1">
        <f t="array" ref="T451">IF(S451&lt;&gt;"NotApplicable",_xlfn.REGEXEXTRACT(S451,"\d+(?=p)"),"NotApplicable")</f>
        <v>NotApplicable</v>
      </c>
      <c r="U451" s="27" t="s">
        <v>1750</v>
      </c>
      <c r="V451" s="27" t="b">
        <f>ISNUMBER(SEARCH(",",F451))</f>
        <v>1</v>
      </c>
    </row>
    <row r="452" spans="1:22" ht="30" x14ac:dyDescent="0.25">
      <c r="A452" s="27" t="str">
        <f>IF(ISBLANK(N452)=TRUE,"Pending","Done")</f>
        <v>Pending</v>
      </c>
      <c r="B452" s="27" t="s">
        <v>2080</v>
      </c>
      <c r="C452" s="27">
        <v>52</v>
      </c>
      <c r="D452" s="27" t="str">
        <f>SUBSTITUTE(TRIM(RIGHT(SUBSTITUTE(IF(RIGHT(B452,1)="/",LEFT(B452,LEN(B452)-1),B452),"/",REPT(" ",LEN(B452))),LEN(B452))),"-"," ")</f>
        <v>bondage the sarge meets mia bangg</v>
      </c>
      <c r="E452" s="27" t="s">
        <v>1818</v>
      </c>
      <c r="F452" s="27" t="s">
        <v>2081</v>
      </c>
      <c r="G452" s="27" t="s">
        <v>70</v>
      </c>
      <c r="H452" s="27" t="s">
        <v>2866</v>
      </c>
      <c r="I452" s="27" t="s">
        <v>2865</v>
      </c>
      <c r="J452" s="27">
        <v>3</v>
      </c>
      <c r="K452" s="27" t="s">
        <v>2082</v>
      </c>
      <c r="L452" s="27"/>
      <c r="M452" s="27"/>
      <c r="N452" s="27"/>
      <c r="O452" s="27"/>
      <c r="P452" s="27"/>
      <c r="Q452" s="27" t="str" cm="1">
        <f t="array" ref="Q452">_xlfn.REGEXEXTRACT(B452,"(?&lt;=//)[^/]+")</f>
        <v>bdsmstreak.com</v>
      </c>
      <c r="R452" s="27" t="s">
        <v>685</v>
      </c>
      <c r="S452" s="27" t="s">
        <v>1750</v>
      </c>
      <c r="T452" s="27" t="str" cm="1">
        <f t="array" ref="T452">IF(S452&lt;&gt;"NotApplicable",_xlfn.REGEXEXTRACT(S452,"\d+(?=p)"),"NotApplicable")</f>
        <v>NotApplicable</v>
      </c>
      <c r="U452" s="27" t="s">
        <v>1750</v>
      </c>
      <c r="V452" s="27" t="b">
        <f>ISNUMBER(SEARCH(",",F452))</f>
        <v>0</v>
      </c>
    </row>
    <row r="453" spans="1:22" ht="30" x14ac:dyDescent="0.25">
      <c r="A453" s="27" t="str">
        <f>IF(ISBLANK(N453)=TRUE,"Pending","Done")</f>
        <v>Pending</v>
      </c>
      <c r="B453" s="27" t="s">
        <v>1817</v>
      </c>
      <c r="C453" s="27">
        <v>60</v>
      </c>
      <c r="D453" s="27" t="str">
        <f>SUBSTITUTE(TRIM(RIGHT(SUBSTITUTE(IF(RIGHT(B453,1)="/",LEFT(B453,LEN(B453)-1),B453),"/",REPT(" ",LEN(B453))),LEN(B453))),"-"," ")</f>
        <v>dragonlilly the sarge</v>
      </c>
      <c r="E453" s="27" t="s">
        <v>1818</v>
      </c>
      <c r="F453" s="27" t="s">
        <v>1819</v>
      </c>
      <c r="G453" s="27" t="s">
        <v>70</v>
      </c>
      <c r="H453" s="27" t="s">
        <v>2867</v>
      </c>
      <c r="I453" s="27" t="s">
        <v>2867</v>
      </c>
      <c r="J453" s="27">
        <v>0</v>
      </c>
      <c r="K453" s="27" t="s">
        <v>1141</v>
      </c>
      <c r="L453" s="27"/>
      <c r="M453" s="27"/>
      <c r="N453" s="27"/>
      <c r="O453" s="27"/>
      <c r="P453" s="27"/>
      <c r="Q453" s="27" t="str" cm="1">
        <f t="array" ref="Q453">_xlfn.REGEXEXTRACT(B453,"(?&lt;=//)[^/]+")</f>
        <v>bdsmstreak.com</v>
      </c>
      <c r="R453" s="27" t="s">
        <v>685</v>
      </c>
      <c r="S453" s="27" t="s">
        <v>1750</v>
      </c>
      <c r="T453" s="27" t="str" cm="1">
        <f t="array" ref="T453">IF(S453&lt;&gt;"NotApplicable",_xlfn.REGEXEXTRACT(S453,"\d+(?=p)"),"NotApplicable")</f>
        <v>NotApplicable</v>
      </c>
      <c r="U453" s="27" t="s">
        <v>1750</v>
      </c>
      <c r="V453" s="27" t="b">
        <f>ISNUMBER(SEARCH(",",F453))</f>
        <v>0</v>
      </c>
    </row>
    <row r="454" spans="1:22" ht="30" x14ac:dyDescent="0.25">
      <c r="A454" s="27" t="str">
        <f>IF(ISBLANK(N454)=TRUE,"Pending","Done")</f>
        <v>Pending</v>
      </c>
      <c r="B454" s="27" t="s">
        <v>1559</v>
      </c>
      <c r="C454" s="27">
        <v>53</v>
      </c>
      <c r="D454" s="27" t="str">
        <f>SUBSTITUTE(TRIM(RIGHT(SUBSTITUTE(IF(RIGHT(B454,1)="/",LEFT(B454,LEN(B454)-1),B454),"/",REPT(" ",LEN(B454))),LEN(B454))),"-"," ")</f>
        <v>37514</v>
      </c>
      <c r="E454" s="27" t="s">
        <v>1573</v>
      </c>
      <c r="F454" s="27" t="s">
        <v>1586</v>
      </c>
      <c r="G454" s="27" t="s">
        <v>70</v>
      </c>
      <c r="H454" s="27" t="s">
        <v>2185</v>
      </c>
      <c r="I454" s="27" t="s">
        <v>2185</v>
      </c>
      <c r="J454" s="27" t="s">
        <v>1750</v>
      </c>
      <c r="K454" s="27" t="s">
        <v>1750</v>
      </c>
      <c r="L454" s="27" t="s">
        <v>1727</v>
      </c>
      <c r="M454" s="27"/>
      <c r="N454" s="27"/>
      <c r="O454" s="27"/>
      <c r="P454" s="27"/>
      <c r="Q454" s="27" t="str" cm="1">
        <f t="array" ref="Q454">_xlfn.REGEXEXTRACT(B454,"(?&lt;=//)[^/]+")</f>
        <v>www.kink.com</v>
      </c>
      <c r="R454" s="27" t="s">
        <v>685</v>
      </c>
      <c r="S454" s="27" t="s">
        <v>1750</v>
      </c>
      <c r="T454" s="27" t="str" cm="1">
        <f t="array" ref="T454">IF(S454&lt;&gt;"NotApplicable",_xlfn.REGEXEXTRACT(S454,"\d+(?=p)"),"NotApplicable")</f>
        <v>NotApplicable</v>
      </c>
      <c r="U454" s="27" t="s">
        <v>1750</v>
      </c>
      <c r="V454" s="27" t="b">
        <f>ISNUMBER(SEARCH(",",F454))</f>
        <v>1</v>
      </c>
    </row>
    <row r="455" spans="1:22" ht="30" x14ac:dyDescent="0.25">
      <c r="A455" s="27" t="str">
        <f>IF(ISBLANK(N455)=TRUE,"Pending","Done")</f>
        <v>Pending</v>
      </c>
      <c r="B455" s="27" t="s">
        <v>1983</v>
      </c>
      <c r="C455" s="27">
        <v>80</v>
      </c>
      <c r="D455" s="27" t="str">
        <f>SUBSTITUTE(TRIM(RIGHT(SUBSTITUTE(IF(RIGHT(B455,1)="/",LEFT(B455,LEN(B455)-1),B455),"/",REPT(" ",LEN(B455))),LEN(B455))),"-"," ")</f>
        <v>39366</v>
      </c>
      <c r="E455" s="27" t="s">
        <v>1573</v>
      </c>
      <c r="F455" s="27" t="s">
        <v>1984</v>
      </c>
      <c r="G455" s="27" t="s">
        <v>70</v>
      </c>
      <c r="H455" s="27" t="s">
        <v>2205</v>
      </c>
      <c r="I455" s="27" t="s">
        <v>2205</v>
      </c>
      <c r="J455" s="27">
        <v>3</v>
      </c>
      <c r="K455" s="27" t="s">
        <v>1715</v>
      </c>
      <c r="L455" s="27"/>
      <c r="M455" s="27"/>
      <c r="N455" s="27"/>
      <c r="O455" s="27"/>
      <c r="P455" s="27"/>
      <c r="Q455" s="27" t="str" cm="1">
        <f t="array" ref="Q455">_xlfn.REGEXEXTRACT(B455,"(?&lt;=//)[^/]+")</f>
        <v>www.kink.com</v>
      </c>
      <c r="R455" s="27" t="s">
        <v>685</v>
      </c>
      <c r="S455" s="27" t="s">
        <v>1750</v>
      </c>
      <c r="T455" s="27" t="str" cm="1">
        <f t="array" ref="T455">IF(S455&lt;&gt;"NotApplicable",_xlfn.REGEXEXTRACT(S455,"\d+(?=p)"),"NotApplicable")</f>
        <v>NotApplicable</v>
      </c>
      <c r="U455" s="27" t="s">
        <v>1750</v>
      </c>
      <c r="V455" s="27" t="b">
        <f>ISNUMBER(SEARCH(",",F455))</f>
        <v>1</v>
      </c>
    </row>
    <row r="456" spans="1:22" ht="30" x14ac:dyDescent="0.25">
      <c r="A456" s="27" t="str">
        <f>IF(ISBLANK(N456)=TRUE,"Pending","Done")</f>
        <v>Pending</v>
      </c>
      <c r="B456" s="27" t="s">
        <v>2127</v>
      </c>
      <c r="C456" s="27">
        <v>69</v>
      </c>
      <c r="D456" s="27" t="str">
        <f>SUBSTITUTE(TRIM(RIGHT(SUBSTITUTE(IF(RIGHT(B456,1)="/",LEFT(B456,LEN(B456)-1),B456),"/",REPT(" ",LEN(B456))),LEN(B456))),"-"," ")</f>
        <v>wenona the sarge</v>
      </c>
      <c r="E456" s="27" t="s">
        <v>1818</v>
      </c>
      <c r="F456" s="27" t="s">
        <v>85</v>
      </c>
      <c r="G456" s="27" t="s">
        <v>70</v>
      </c>
      <c r="H456" s="27" t="s">
        <v>2868</v>
      </c>
      <c r="I456" s="27" t="s">
        <v>2868</v>
      </c>
      <c r="J456" s="27">
        <v>0</v>
      </c>
      <c r="K456" s="27" t="s">
        <v>1141</v>
      </c>
      <c r="L456" s="27"/>
      <c r="M456" s="27"/>
      <c r="N456" s="27"/>
      <c r="O456" s="27"/>
      <c r="P456" s="27"/>
      <c r="Q456" s="27" t="str" cm="1">
        <f t="array" ref="Q456">_xlfn.REGEXEXTRACT(B456,"(?&lt;=//)[^/]+")</f>
        <v>bdsmstreak.com</v>
      </c>
      <c r="R456" s="27" t="s">
        <v>685</v>
      </c>
      <c r="S456" s="27" t="s">
        <v>1750</v>
      </c>
      <c r="T456" s="27" t="str" cm="1">
        <f t="array" ref="T456">IF(S456&lt;&gt;"NotApplicable",_xlfn.REGEXEXTRACT(S456,"\d+(?=p)"),"NotApplicable")</f>
        <v>NotApplicable</v>
      </c>
      <c r="U456" s="27" t="s">
        <v>1750</v>
      </c>
      <c r="V456" s="27" t="b">
        <f>ISNUMBER(SEARCH(",",F456))</f>
        <v>0</v>
      </c>
    </row>
    <row r="457" spans="1:22" ht="30" x14ac:dyDescent="0.25">
      <c r="A457" s="27" t="str">
        <f>IF(ISBLANK(N457)=TRUE,"Pending","Done")</f>
        <v>Pending</v>
      </c>
      <c r="B457" s="27" t="s">
        <v>1547</v>
      </c>
      <c r="C457" s="27">
        <v>34</v>
      </c>
      <c r="D457" s="27" t="str">
        <f>SUBSTITUTE(TRIM(RIGHT(SUBSTITUTE(IF(RIGHT(B457,1)="/",LEFT(B457,LEN(B457)-1),B457),"/",REPT(" ",LEN(B457))),LEN(B457))),"-"," ")</f>
        <v>Busty Machine Babe Double Dildo Fucked</v>
      </c>
      <c r="E457" s="27" t="s">
        <v>1747</v>
      </c>
      <c r="F457" s="27" t="s">
        <v>1577</v>
      </c>
      <c r="G457" s="27" t="s">
        <v>70</v>
      </c>
      <c r="H457" s="27" t="s">
        <v>1750</v>
      </c>
      <c r="I457" s="27" t="s">
        <v>2869</v>
      </c>
      <c r="J457" s="27" t="s">
        <v>1750</v>
      </c>
      <c r="K457" s="27" t="s">
        <v>1750</v>
      </c>
      <c r="L457" s="27"/>
      <c r="M457" s="27"/>
      <c r="N457" s="27"/>
      <c r="O457" s="27"/>
      <c r="P457" s="27" t="s">
        <v>1605</v>
      </c>
      <c r="Q457" s="27" t="str" cm="1">
        <f t="array" ref="Q457">_xlfn.REGEXEXTRACT(B457,"(?&lt;=//)[^/]+")</f>
        <v>www.eporner.com</v>
      </c>
      <c r="R457" s="27" t="s">
        <v>685</v>
      </c>
      <c r="S457" s="27" t="s">
        <v>1750</v>
      </c>
      <c r="T457" s="27" t="str" cm="1">
        <f t="array" ref="T457">IF(S457&lt;&gt;"NotApplicable",_xlfn.REGEXEXTRACT(S457,"\d+(?=p)"),"NotApplicable")</f>
        <v>NotApplicable</v>
      </c>
      <c r="U457" s="27" t="s">
        <v>1750</v>
      </c>
      <c r="V457" s="27" t="b">
        <f>ISNUMBER(SEARCH(",",F457))</f>
        <v>0</v>
      </c>
    </row>
    <row r="458" spans="1:22" ht="30" x14ac:dyDescent="0.25">
      <c r="A458" s="27" t="str">
        <f>IF(ISBLANK(N458)=TRUE,"Pending","Done")</f>
        <v>Pending</v>
      </c>
      <c r="B458" s="27" t="s">
        <v>1565</v>
      </c>
      <c r="C458" s="27">
        <v>76</v>
      </c>
      <c r="D458" s="27" t="str">
        <f>SUBSTITUTE(TRIM(RIGHT(SUBSTITUTE(IF(RIGHT(B458,1)="/",LEFT(B458,LEN(B458)-1),B458),"/",REPT(" ",LEN(B458))),LEN(B458))),"-"," ")</f>
        <v>anal campus sluts</v>
      </c>
      <c r="E458" s="27" t="s">
        <v>851</v>
      </c>
      <c r="F458" s="27" t="s">
        <v>1591</v>
      </c>
      <c r="G458" s="27" t="s">
        <v>197</v>
      </c>
      <c r="H458" s="27" t="s">
        <v>2458</v>
      </c>
      <c r="I458" s="27" t="s">
        <v>2458</v>
      </c>
      <c r="J458" s="27" t="s">
        <v>1750</v>
      </c>
      <c r="K458" s="27" t="s">
        <v>1750</v>
      </c>
      <c r="L458" s="27" t="s">
        <v>1690</v>
      </c>
      <c r="M458" s="27"/>
      <c r="N458" s="27"/>
      <c r="O458" s="27"/>
      <c r="P458" s="27" t="s">
        <v>1610</v>
      </c>
      <c r="Q458" s="27" t="str" cm="1">
        <f t="array" ref="Q458">_xlfn.REGEXEXTRACT(B458,"(?&lt;=//)[^/]+")</f>
        <v>bdsmstreak.com</v>
      </c>
      <c r="R458" s="27" t="s">
        <v>685</v>
      </c>
      <c r="S458" s="27" t="s">
        <v>1750</v>
      </c>
      <c r="T458" s="27" t="str" cm="1">
        <f t="array" ref="T458">IF(S458&lt;&gt;"NotApplicable",_xlfn.REGEXEXTRACT(S458,"\d+(?=p)"),"NotApplicable")</f>
        <v>NotApplicable</v>
      </c>
      <c r="U458" s="27" t="s">
        <v>1750</v>
      </c>
      <c r="V458" s="27" t="b">
        <f>ISNUMBER(SEARCH(",",F458))</f>
        <v>1</v>
      </c>
    </row>
    <row r="459" spans="1:22" ht="30" x14ac:dyDescent="0.25">
      <c r="A459" s="27" t="str">
        <f>IF(ISBLANK(N459)=TRUE,"Pending","Done")</f>
        <v>Pending</v>
      </c>
      <c r="B459" s="27" t="s">
        <v>1842</v>
      </c>
      <c r="C459" s="27">
        <v>87</v>
      </c>
      <c r="D459" s="27" t="str">
        <f>SUBSTITUTE(TRIM(RIGHT(SUBSTITUTE(IF(RIGHT(B459,1)="/",LEFT(B459,LEN(B459)-1),B459),"/",REPT(" ",LEN(B459))),LEN(B459))),"-"," ")</f>
        <v>fist punching sarah</v>
      </c>
      <c r="E459" s="27" t="s">
        <v>851</v>
      </c>
      <c r="F459" s="27" t="s">
        <v>1843</v>
      </c>
      <c r="G459" s="27" t="s">
        <v>197</v>
      </c>
      <c r="H459" s="27" t="s">
        <v>2459</v>
      </c>
      <c r="I459" s="27" t="s">
        <v>2459</v>
      </c>
      <c r="J459" s="27">
        <v>3</v>
      </c>
      <c r="K459" s="27" t="s">
        <v>1610</v>
      </c>
      <c r="L459" s="27"/>
      <c r="M459" s="27"/>
      <c r="N459" s="27"/>
      <c r="O459" s="27"/>
      <c r="P459" s="27"/>
      <c r="Q459" s="27" t="str" cm="1">
        <f t="array" ref="Q459">_xlfn.REGEXEXTRACT(B459,"(?&lt;=//)[^/]+")</f>
        <v>bdsmstreak.com</v>
      </c>
      <c r="R459" s="27" t="s">
        <v>685</v>
      </c>
      <c r="S459" s="27" t="s">
        <v>1750</v>
      </c>
      <c r="T459" s="27" t="str" cm="1">
        <f t="array" ref="T459">IF(S459&lt;&gt;"NotApplicable",_xlfn.REGEXEXTRACT(S459,"\d+(?=p)"),"NotApplicable")</f>
        <v>NotApplicable</v>
      </c>
      <c r="U459" s="27" t="s">
        <v>1750</v>
      </c>
      <c r="V459" s="27" t="b">
        <f>ISNUMBER(SEARCH(",",F459))</f>
        <v>1</v>
      </c>
    </row>
    <row r="460" spans="1:22" x14ac:dyDescent="0.25">
      <c r="A460" s="27" t="str">
        <f>IF(ISBLANK(N460)=TRUE,"Pending","Done")</f>
        <v>Pending</v>
      </c>
      <c r="B460" s="27" t="s">
        <v>1852</v>
      </c>
      <c r="C460" s="27">
        <v>55</v>
      </c>
      <c r="D460" s="27" t="str">
        <f>SUBSTITUTE(TRIM(RIGHT(SUBSTITUTE(IF(RIGHT(B460,1)="/",LEFT(B460,LEN(B460)-1),B460),"/",REPT(" ",LEN(B460))),LEN(B460))),"-"," ")</f>
        <v>fresh talent</v>
      </c>
      <c r="E460" s="27" t="s">
        <v>847</v>
      </c>
      <c r="F460" s="27" t="s">
        <v>1853</v>
      </c>
      <c r="G460" s="27" t="s">
        <v>197</v>
      </c>
      <c r="H460" s="27" t="s">
        <v>2457</v>
      </c>
      <c r="I460" s="27" t="s">
        <v>2457</v>
      </c>
      <c r="J460" s="27">
        <v>3</v>
      </c>
      <c r="K460" s="27" t="s">
        <v>1854</v>
      </c>
      <c r="L460" s="27"/>
      <c r="M460" s="27"/>
      <c r="N460" s="27"/>
      <c r="O460" s="27"/>
      <c r="P460" s="27"/>
      <c r="Q460" s="27" t="str" cm="1">
        <f t="array" ref="Q460">_xlfn.REGEXEXTRACT(B460,"(?&lt;=//)[^/]+")</f>
        <v>bdsmstreak.com</v>
      </c>
      <c r="R460" s="27" t="s">
        <v>685</v>
      </c>
      <c r="S460" s="27" t="s">
        <v>1750</v>
      </c>
      <c r="T460" s="27" t="str" cm="1">
        <f t="array" ref="T460">IF(S460&lt;&gt;"NotApplicable",_xlfn.REGEXEXTRACT(S460,"\d+(?=p)"),"NotApplicable")</f>
        <v>NotApplicable</v>
      </c>
      <c r="U460" s="27" t="s">
        <v>1750</v>
      </c>
      <c r="V460" s="27" t="b">
        <f>ISNUMBER(SEARCH(",",F460))</f>
        <v>1</v>
      </c>
    </row>
    <row r="461" spans="1:22" ht="30" x14ac:dyDescent="0.25">
      <c r="A461" s="27" t="str">
        <f>IF(ISBLANK(N461)=TRUE,"Pending","Done")</f>
        <v>Pending</v>
      </c>
      <c r="B461" s="27" t="s">
        <v>1662</v>
      </c>
      <c r="C461" s="27">
        <v>44</v>
      </c>
      <c r="D461" s="27" t="str">
        <f>SUBSTITUTE(TRIM(RIGHT(SUBSTITUTE(IF(RIGHT(B461,1)="/",LEFT(B461,LEN(B461)-1),B461),"/",REPT(" ",LEN(B461))),LEN(B461))),"-"," ")</f>
        <v>36890</v>
      </c>
      <c r="E461" s="27" t="s">
        <v>1663</v>
      </c>
      <c r="F461" s="27" t="s">
        <v>1664</v>
      </c>
      <c r="G461" s="27" t="s">
        <v>69</v>
      </c>
      <c r="H461" s="27" t="s">
        <v>2176</v>
      </c>
      <c r="I461" s="27" t="s">
        <v>2176</v>
      </c>
      <c r="J461" s="27" t="s">
        <v>1750</v>
      </c>
      <c r="K461" s="27" t="s">
        <v>1750</v>
      </c>
      <c r="L461" s="27"/>
      <c r="M461" s="27"/>
      <c r="N461" s="27"/>
      <c r="O461" s="27"/>
      <c r="P461" s="27" t="s">
        <v>1665</v>
      </c>
      <c r="Q461" s="27" t="str" cm="1">
        <f t="array" ref="Q461">_xlfn.REGEXEXTRACT(B461,"(?&lt;=//)[^/]+")</f>
        <v>www.twistedfactory.com</v>
      </c>
      <c r="R461" s="27" t="s">
        <v>685</v>
      </c>
      <c r="S461" s="27" t="s">
        <v>1750</v>
      </c>
      <c r="T461" s="27" t="str" cm="1">
        <f t="array" ref="T461">IF(S461&lt;&gt;"NotApplicable",_xlfn.REGEXEXTRACT(S461,"\d+(?=p)"),"NotApplicable")</f>
        <v>NotApplicable</v>
      </c>
      <c r="U461" s="27" t="s">
        <v>1750</v>
      </c>
      <c r="V461" s="27" t="b">
        <f>ISNUMBER(SEARCH(",",F461))</f>
        <v>0</v>
      </c>
    </row>
    <row r="462" spans="1:22" ht="30" x14ac:dyDescent="0.25">
      <c r="A462" s="27" t="str">
        <f>IF(ISBLANK(N462)=TRUE,"Pending","Done")</f>
        <v>Pending</v>
      </c>
      <c r="B462" s="27" t="s">
        <v>1469</v>
      </c>
      <c r="C462" s="27">
        <v>26</v>
      </c>
      <c r="D462" s="27" t="str">
        <f>SUBSTITUTE(TRIM(RIGHT(SUBSTITUTE(IF(RIGHT(B462,1)="/",LEFT(B462,LEN(B462)-1),B462),"/",REPT(" ",LEN(B462))),LEN(B462))),"-"," ")</f>
        <v>brooke lee adams orgasmed to near unconsciousness seriously</v>
      </c>
      <c r="E462" s="27" t="s">
        <v>849</v>
      </c>
      <c r="F462" s="27" t="s">
        <v>1470</v>
      </c>
      <c r="G462" s="27" t="s">
        <v>69</v>
      </c>
      <c r="H462" s="27" t="s">
        <v>2495</v>
      </c>
      <c r="I462" s="27" t="s">
        <v>2494</v>
      </c>
      <c r="J462" s="27" t="s">
        <v>1750</v>
      </c>
      <c r="K462" s="27" t="s">
        <v>1750</v>
      </c>
      <c r="L462" s="27"/>
      <c r="M462" s="27"/>
      <c r="N462" s="27"/>
      <c r="O462" s="27"/>
      <c r="P462" s="27" t="s">
        <v>1144</v>
      </c>
      <c r="Q462" s="27" t="str" cm="1">
        <f t="array" ref="Q462">_xlfn.REGEXEXTRACT(B462,"(?&lt;=//)[^/]+")</f>
        <v>hcbdsm.com</v>
      </c>
      <c r="R462" s="27" t="s">
        <v>685</v>
      </c>
      <c r="S462" s="27" t="s">
        <v>1750</v>
      </c>
      <c r="T462" s="27" t="str" cm="1">
        <f t="array" ref="T462">IF(S462&lt;&gt;"NotApplicable",_xlfn.REGEXEXTRACT(S462,"\d+(?=p)"),"NotApplicable")</f>
        <v>NotApplicable</v>
      </c>
      <c r="U462" s="27" t="s">
        <v>1750</v>
      </c>
      <c r="V462" s="27" t="b">
        <f>ISNUMBER(SEARCH(",",F462))</f>
        <v>0</v>
      </c>
    </row>
    <row r="463" spans="1:22" ht="30" x14ac:dyDescent="0.25">
      <c r="A463" s="27" t="str">
        <f>IF(ISBLANK(N463)=TRUE,"Pending","Done")</f>
        <v>Pending</v>
      </c>
      <c r="B463" s="27" t="s">
        <v>1537</v>
      </c>
      <c r="C463" s="27">
        <v>42</v>
      </c>
      <c r="D463" s="27" t="str">
        <f>SUBSTITUTE(TRIM(RIGHT(SUBSTITUTE(IF(RIGHT(B463,1)="/",LEFT(B463,LEN(B463)-1),B463),"/",REPT(" ",LEN(B463))),LEN(B463))),"-"," ")</f>
        <v>a for anal</v>
      </c>
      <c r="E463" s="27" t="s">
        <v>845</v>
      </c>
      <c r="F463" s="27" t="s">
        <v>724</v>
      </c>
      <c r="G463" s="27" t="s">
        <v>69</v>
      </c>
      <c r="H463" s="27" t="s">
        <v>2496</v>
      </c>
      <c r="I463" s="27" t="s">
        <v>2496</v>
      </c>
      <c r="J463" s="27" t="s">
        <v>1750</v>
      </c>
      <c r="K463" s="27" t="s">
        <v>1750</v>
      </c>
      <c r="L463" s="27"/>
      <c r="M463" s="27"/>
      <c r="N463" s="27"/>
      <c r="O463" s="27"/>
      <c r="P463" s="27"/>
      <c r="Q463" s="27" t="str" cm="1">
        <f t="array" ref="Q463">_xlfn.REGEXEXTRACT(B463,"(?&lt;=//)[^/]+")</f>
        <v>bdsmmansion.com</v>
      </c>
      <c r="R463" s="27" t="s">
        <v>685</v>
      </c>
      <c r="S463" s="27" t="s">
        <v>1750</v>
      </c>
      <c r="T463" s="27" t="str" cm="1">
        <f t="array" ref="T463">IF(S463&lt;&gt;"NotApplicable",_xlfn.REGEXEXTRACT(S463,"\d+(?=p)"),"NotApplicable")</f>
        <v>NotApplicable</v>
      </c>
      <c r="U463" s="27" t="s">
        <v>1750</v>
      </c>
      <c r="V463" s="27" t="b">
        <f>ISNUMBER(SEARCH(",",F463))</f>
        <v>0</v>
      </c>
    </row>
    <row r="464" spans="1:22" ht="30" x14ac:dyDescent="0.25">
      <c r="A464" s="27" t="str">
        <f>IF(ISBLANK(N464)=TRUE,"Pending","Done")</f>
        <v>Pending</v>
      </c>
      <c r="B464" s="27" t="s">
        <v>1458</v>
      </c>
      <c r="C464" s="27">
        <v>49</v>
      </c>
      <c r="D464" s="27" t="str">
        <f>SUBSTITUTE(TRIM(RIGHT(SUBSTITUTE(IF(RIGHT(B464,1)="/",LEFT(B464,LEN(B464)-1),B464),"/",REPT(" ",LEN(B464))),LEN(B464))),"-"," ")</f>
        <v>sex and submission jane wilde wild anal seductress</v>
      </c>
      <c r="E464" s="27" t="s">
        <v>845</v>
      </c>
      <c r="F464" s="27" t="s">
        <v>1460</v>
      </c>
      <c r="G464" s="27" t="s">
        <v>69</v>
      </c>
      <c r="H464" s="27" t="s">
        <v>2498</v>
      </c>
      <c r="I464" s="27" t="s">
        <v>2497</v>
      </c>
      <c r="J464" s="27" t="s">
        <v>1750</v>
      </c>
      <c r="K464" s="27" t="s">
        <v>1750</v>
      </c>
      <c r="L464" s="27"/>
      <c r="M464" s="27"/>
      <c r="N464" s="27"/>
      <c r="O464" s="27"/>
      <c r="P464" s="27" t="s">
        <v>1461</v>
      </c>
      <c r="Q464" s="27" t="str" cm="1">
        <f t="array" ref="Q464">_xlfn.REGEXEXTRACT(B464,"(?&lt;=//)[^/]+")</f>
        <v>bdsmstreak.com</v>
      </c>
      <c r="R464" s="27" t="s">
        <v>685</v>
      </c>
      <c r="S464" s="27" t="s">
        <v>1750</v>
      </c>
      <c r="T464" s="27" t="str" cm="1">
        <f t="array" ref="T464">IF(S464&lt;&gt;"NotApplicable",_xlfn.REGEXEXTRACT(S464,"\d+(?=p)"),"NotApplicable")</f>
        <v>NotApplicable</v>
      </c>
      <c r="U464" s="27" t="s">
        <v>1750</v>
      </c>
      <c r="V464" s="27" t="b">
        <f>ISNUMBER(SEARCH(",",F464))</f>
        <v>0</v>
      </c>
    </row>
    <row r="465" spans="1:22" ht="30" x14ac:dyDescent="0.25">
      <c r="A465" s="27" t="str">
        <f>IF(ISBLANK(N465)=TRUE,"Pending","Done")</f>
        <v>Pending</v>
      </c>
      <c r="B465" s="27" t="s">
        <v>1621</v>
      </c>
      <c r="C465" s="27">
        <v>74</v>
      </c>
      <c r="D465" s="27" t="str">
        <f>SUBSTITUTE(TRIM(RIGHT(SUBSTITUTE(IF(RIGHT(B465,1)="/",LEFT(B465,LEN(B465)-1),B465),"/",REPT(" ",LEN(B465))),LEN(B465))),"-"," ")</f>
        <v>black mailed step mother daughter sexually punished</v>
      </c>
      <c r="E465" s="27" t="s">
        <v>1574</v>
      </c>
      <c r="F465" s="27" t="s">
        <v>1637</v>
      </c>
      <c r="G465" s="27" t="s">
        <v>69</v>
      </c>
      <c r="H465" s="27" t="s">
        <v>2499</v>
      </c>
      <c r="I465" s="27" t="s">
        <v>2499</v>
      </c>
      <c r="J465" s="27" t="s">
        <v>1750</v>
      </c>
      <c r="K465" s="27" t="s">
        <v>1750</v>
      </c>
      <c r="L465" s="27" t="s">
        <v>2500</v>
      </c>
      <c r="M465" s="27"/>
      <c r="N465" s="27"/>
      <c r="O465" s="27"/>
      <c r="P465" s="27"/>
      <c r="Q465" s="27" t="str" cm="1">
        <f t="array" ref="Q465">_xlfn.REGEXEXTRACT(B465,"(?&lt;=//)[^/]+")</f>
        <v>heavyfetish.com</v>
      </c>
      <c r="R465" s="27" t="s">
        <v>685</v>
      </c>
      <c r="S465" s="27" t="s">
        <v>1750</v>
      </c>
      <c r="T465" s="27" t="str" cm="1">
        <f t="array" ref="T465">IF(S465&lt;&gt;"NotApplicable",_xlfn.REGEXEXTRACT(S465,"\d+(?=p)"),"NotApplicable")</f>
        <v>NotApplicable</v>
      </c>
      <c r="U465" s="27" t="s">
        <v>1750</v>
      </c>
      <c r="V465" s="27" t="b">
        <f>ISNUMBER(SEARCH(",",F465))</f>
        <v>1</v>
      </c>
    </row>
    <row r="466" spans="1:22" ht="30" x14ac:dyDescent="0.25">
      <c r="A466" s="27" t="str">
        <f>IF(ISBLANK(N466)=TRUE,"Pending","Done")</f>
        <v>Pending</v>
      </c>
      <c r="B466" s="27" t="s">
        <v>2471</v>
      </c>
      <c r="C466" s="27">
        <v>81</v>
      </c>
      <c r="D466" s="27" t="str">
        <f>SUBSTITUTE(TRIM(RIGHT(SUBSTITUTE(IF(RIGHT(B466,1)="/",LEFT(B466,LEN(B466)-1),B466),"/",REPT(" ",LEN(B466))),LEN(B466))),"-"," ")</f>
        <v>d6a61431b1f56521b376baf702bbfded</v>
      </c>
      <c r="E466" s="27" t="s">
        <v>1574</v>
      </c>
      <c r="F466" s="27" t="s">
        <v>2021</v>
      </c>
      <c r="G466" s="27" t="s">
        <v>154</v>
      </c>
      <c r="H466" s="27" t="s">
        <v>2206</v>
      </c>
      <c r="I466" s="27" t="s">
        <v>2472</v>
      </c>
      <c r="J466" s="27">
        <v>0</v>
      </c>
      <c r="K466" s="27" t="s">
        <v>1677</v>
      </c>
      <c r="L466" s="27" t="s">
        <v>1677</v>
      </c>
      <c r="M466" s="27"/>
      <c r="N466" s="27"/>
      <c r="O466" s="27"/>
      <c r="P466" s="27"/>
      <c r="Q466" s="27" t="str" cm="1">
        <f t="array" ref="Q466">_xlfn.REGEXEXTRACT(B466,"(?&lt;=//)[^/]+")</f>
        <v>www.porntry.com</v>
      </c>
      <c r="R466" s="27" t="s">
        <v>685</v>
      </c>
      <c r="S466" s="27" t="s">
        <v>1750</v>
      </c>
      <c r="T466" s="27" t="str" cm="1">
        <f t="array" ref="T466">IF(S466&lt;&gt;"NotApplicable",_xlfn.REGEXEXTRACT(S466,"\d+(?=p)"),"NotApplicable")</f>
        <v>NotApplicable</v>
      </c>
      <c r="U466" s="27" t="s">
        <v>1750</v>
      </c>
      <c r="V466" s="27" t="b">
        <f>ISNUMBER(SEARCH(",",F466))</f>
        <v>1</v>
      </c>
    </row>
  </sheetData>
  <autoFilter ref="A1:V466" xr:uid="{84BC93B7-B882-48B2-AAF6-D1E0B3702CB8}">
    <sortState xmlns:xlrd2="http://schemas.microsoft.com/office/spreadsheetml/2017/richdata2" ref="A2:V466">
      <sortCondition descending="1" ref="O1:O466"/>
    </sortState>
  </autoFilter>
  <sortState xmlns:xlrd2="http://schemas.microsoft.com/office/spreadsheetml/2017/richdata2" ref="A2:V466">
    <sortCondition descending="1" ref="O1:O466"/>
  </sortState>
  <phoneticPr fontId="1" type="noConversion"/>
  <conditionalFormatting sqref="B1:B1048576">
    <cfRule type="duplicateValues" dxfId="2" priority="2"/>
  </conditionalFormatting>
  <conditionalFormatting sqref="I206">
    <cfRule type="expression" dxfId="1" priority="7">
      <formula>$A182="Pending"</formula>
    </cfRule>
  </conditionalFormatting>
  <hyperlinks>
    <hyperlink ref="B110" r:id="rId1" xr:uid="{67D640FB-30E4-4DE4-8404-82A48C872AA6}"/>
    <hyperlink ref="B221" r:id="rId2" xr:uid="{5E047F66-E887-4633-BD76-F0226DDAE0B6}"/>
    <hyperlink ref="B424" r:id="rId3" xr:uid="{6F39F461-3FF1-45B0-B4B9-0DF4EB1071EC}"/>
    <hyperlink ref="B111" r:id="rId4" xr:uid="{2C50A944-FF4F-4286-869A-0332AC022F70}"/>
    <hyperlink ref="B196" r:id="rId5" xr:uid="{1B53BC7D-6016-4861-B1EF-CD88940D6D3E}"/>
    <hyperlink ref="B397" r:id="rId6" xr:uid="{8EA8D2C5-4A51-4E51-9B04-6CFAE255D3FD}"/>
  </hyperlinks>
  <printOptions horizontalCentered="1" verticalCentered="1"/>
  <pageMargins left="0" right="0" top="0" bottom="0" header="0" footer="0"/>
  <pageSetup paperSize="8" orientation="landscape"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J17"/>
  <sheetViews>
    <sheetView workbookViewId="0">
      <selection activeCell="E17" sqref="E17"/>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8" bestFit="1" customWidth="1"/>
    <col min="8" max="8" width="15.140625" bestFit="1" customWidth="1"/>
    <col min="9" max="9" width="25.140625" bestFit="1" customWidth="1"/>
    <col min="10" max="10" width="9.42578125" bestFit="1" customWidth="1"/>
    <col min="12" max="12" width="85.5703125" bestFit="1" customWidth="1"/>
    <col min="19" max="19" width="7.28515625" bestFit="1" customWidth="1"/>
    <col min="20" max="20" width="7.7109375" bestFit="1" customWidth="1"/>
    <col min="21" max="21" width="9.42578125" bestFit="1" customWidth="1"/>
  </cols>
  <sheetData>
    <row r="1" spans="1:10" x14ac:dyDescent="0.25">
      <c r="A1" s="10" t="s">
        <v>156</v>
      </c>
      <c r="B1" s="11" t="s">
        <v>157</v>
      </c>
      <c r="C1" s="3" t="s">
        <v>159</v>
      </c>
      <c r="D1" s="9"/>
      <c r="E1" s="18" t="str">
        <f>_xlfn.CONCAT(A1,"-",B1,"-",C1)</f>
        <v>bdsm-soft-maledom</v>
      </c>
      <c r="J1" s="26"/>
    </row>
    <row r="2" spans="1:10" x14ac:dyDescent="0.25">
      <c r="A2" s="10" t="s">
        <v>156</v>
      </c>
      <c r="B2" s="11" t="s">
        <v>157</v>
      </c>
      <c r="C2" s="4" t="s">
        <v>160</v>
      </c>
      <c r="D2" s="8"/>
      <c r="E2" s="18" t="str">
        <f t="shared" ref="E2:E6" si="0">_xlfn.CONCAT(A2,"-",B2,"-",C2)</f>
        <v>bdsm-soft-femdom</v>
      </c>
      <c r="J2" s="26"/>
    </row>
    <row r="3" spans="1:10" x14ac:dyDescent="0.25">
      <c r="A3" s="10" t="s">
        <v>156</v>
      </c>
      <c r="B3" s="11" t="s">
        <v>157</v>
      </c>
      <c r="C3" s="5" t="s">
        <v>161</v>
      </c>
      <c r="D3" s="8"/>
      <c r="E3" s="18" t="str">
        <f t="shared" si="0"/>
        <v>bdsm-soft-lesdom</v>
      </c>
      <c r="J3" s="26"/>
    </row>
    <row r="4" spans="1:10" x14ac:dyDescent="0.25">
      <c r="A4" s="10" t="s">
        <v>156</v>
      </c>
      <c r="B4" s="12" t="s">
        <v>158</v>
      </c>
      <c r="C4" s="3" t="s">
        <v>159</v>
      </c>
      <c r="D4" s="8"/>
      <c r="E4" s="19" t="str">
        <f t="shared" si="0"/>
        <v>bdsm-hard-maledom</v>
      </c>
      <c r="J4" s="26"/>
    </row>
    <row r="5" spans="1:10" x14ac:dyDescent="0.25">
      <c r="A5" s="10" t="s">
        <v>156</v>
      </c>
      <c r="B5" s="12" t="s">
        <v>158</v>
      </c>
      <c r="C5" s="4" t="s">
        <v>160</v>
      </c>
      <c r="D5" s="8"/>
      <c r="E5" s="19" t="str">
        <f t="shared" si="0"/>
        <v>bdsm-hard-femdom</v>
      </c>
      <c r="J5" s="26"/>
    </row>
    <row r="6" spans="1:10" x14ac:dyDescent="0.25">
      <c r="A6" s="13" t="s">
        <v>156</v>
      </c>
      <c r="B6" s="14" t="s">
        <v>158</v>
      </c>
      <c r="C6" s="15" t="s">
        <v>161</v>
      </c>
      <c r="D6" s="8"/>
      <c r="E6" s="20" t="str">
        <f t="shared" si="0"/>
        <v>bdsm-hard-lesdom</v>
      </c>
      <c r="J6" s="26"/>
    </row>
    <row r="7" spans="1:10" x14ac:dyDescent="0.25">
      <c r="J7" s="26"/>
    </row>
    <row r="8" spans="1:10" x14ac:dyDescent="0.25">
      <c r="A8" s="2" t="s">
        <v>162</v>
      </c>
      <c r="B8" s="16" t="s">
        <v>163</v>
      </c>
      <c r="C8" s="1" t="s">
        <v>165</v>
      </c>
      <c r="D8" s="8"/>
      <c r="E8" s="16" t="str">
        <f>_xlfn.CONCAT(A8,"-",B8,"-",C8)</f>
        <v>normal-rough-cis</v>
      </c>
      <c r="J8" s="26"/>
    </row>
    <row r="9" spans="1:10" x14ac:dyDescent="0.25">
      <c r="A9" s="2" t="s">
        <v>162</v>
      </c>
      <c r="B9" s="16" t="s">
        <v>163</v>
      </c>
      <c r="C9" s="3" t="s">
        <v>159</v>
      </c>
      <c r="D9" s="8"/>
      <c r="E9" s="21" t="str">
        <f t="shared" ref="E9:E17" si="1">_xlfn.CONCAT(A9,"-",B9,"-",C9)</f>
        <v>normal-rough-maledom</v>
      </c>
      <c r="J9" s="26"/>
    </row>
    <row r="10" spans="1:10" x14ac:dyDescent="0.25">
      <c r="A10" s="2" t="s">
        <v>162</v>
      </c>
      <c r="B10" s="16" t="s">
        <v>163</v>
      </c>
      <c r="C10" s="4" t="s">
        <v>160</v>
      </c>
      <c r="D10" s="8"/>
      <c r="E10" s="21" t="str">
        <f t="shared" si="1"/>
        <v>normal-rough-femdom</v>
      </c>
      <c r="J10" s="26"/>
    </row>
    <row r="11" spans="1:10" x14ac:dyDescent="0.25">
      <c r="A11" s="2" t="s">
        <v>162</v>
      </c>
      <c r="B11" s="16" t="s">
        <v>163</v>
      </c>
      <c r="C11" s="5" t="s">
        <v>161</v>
      </c>
      <c r="D11" s="8"/>
      <c r="E11" s="21" t="str">
        <f t="shared" si="1"/>
        <v>normal-rough-lesdom</v>
      </c>
      <c r="J11" s="26"/>
    </row>
    <row r="12" spans="1:10" x14ac:dyDescent="0.25">
      <c r="A12" s="2" t="s">
        <v>162</v>
      </c>
      <c r="B12" s="16" t="s">
        <v>163</v>
      </c>
      <c r="C12" s="7" t="s">
        <v>68</v>
      </c>
      <c r="D12" s="8"/>
      <c r="E12" s="21" t="str">
        <f t="shared" si="1"/>
        <v>normal-rough-lesbian</v>
      </c>
      <c r="J12" s="26"/>
    </row>
    <row r="13" spans="1:10" x14ac:dyDescent="0.25">
      <c r="A13" s="2" t="s">
        <v>162</v>
      </c>
      <c r="B13" s="17" t="s">
        <v>164</v>
      </c>
      <c r="C13" s="6" t="s">
        <v>165</v>
      </c>
      <c r="D13" s="8"/>
      <c r="E13" s="22" t="str">
        <f t="shared" si="1"/>
        <v>normal-sensual-cis</v>
      </c>
      <c r="J13" s="26"/>
    </row>
    <row r="14" spans="1:10" x14ac:dyDescent="0.25">
      <c r="A14" s="2" t="s">
        <v>162</v>
      </c>
      <c r="B14" s="17" t="s">
        <v>164</v>
      </c>
      <c r="C14" s="3" t="s">
        <v>159</v>
      </c>
      <c r="D14" s="8"/>
      <c r="E14" s="22" t="str">
        <f t="shared" si="1"/>
        <v>normal-sensual-maledom</v>
      </c>
      <c r="J14" s="26"/>
    </row>
    <row r="15" spans="1:10" x14ac:dyDescent="0.25">
      <c r="A15" s="2" t="s">
        <v>162</v>
      </c>
      <c r="B15" s="17" t="s">
        <v>164</v>
      </c>
      <c r="C15" s="4" t="s">
        <v>160</v>
      </c>
      <c r="D15" s="8"/>
      <c r="E15" s="22" t="str">
        <f t="shared" si="1"/>
        <v>normal-sensual-femdom</v>
      </c>
    </row>
    <row r="16" spans="1:10" x14ac:dyDescent="0.25">
      <c r="A16" s="2" t="s">
        <v>162</v>
      </c>
      <c r="B16" s="17" t="s">
        <v>164</v>
      </c>
      <c r="C16" s="5" t="s">
        <v>161</v>
      </c>
      <c r="D16" s="8"/>
      <c r="E16" s="22" t="str">
        <f t="shared" si="1"/>
        <v>normal-sensual-lesdom</v>
      </c>
    </row>
    <row r="17" spans="1:5" x14ac:dyDescent="0.25">
      <c r="A17" s="2" t="s">
        <v>162</v>
      </c>
      <c r="B17" s="17" t="s">
        <v>164</v>
      </c>
      <c r="C17" s="25" t="s">
        <v>68</v>
      </c>
      <c r="E17" s="17" t="str">
        <f t="shared" si="1"/>
        <v>normal-sensual-lesbian</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topLeftCell="A14" workbookViewId="0">
      <selection activeCell="B21" sqref="B21"/>
    </sheetView>
  </sheetViews>
  <sheetFormatPr defaultRowHeight="15" x14ac:dyDescent="0.25"/>
  <cols>
    <col min="1" max="2" width="50.7109375" style="23" customWidth="1"/>
    <col min="3" max="3" width="50.7109375" style="24" customWidth="1"/>
    <col min="4" max="4" width="8.5703125" style="23" bestFit="1" customWidth="1"/>
    <col min="5" max="5" width="17" style="23" bestFit="1" customWidth="1"/>
    <col min="6" max="6" width="13.85546875" style="23" customWidth="1"/>
    <col min="7" max="7" width="20" style="23" bestFit="1" customWidth="1"/>
    <col min="8" max="8" width="9.140625" style="23"/>
    <col min="9" max="9" width="12.28515625" style="23" bestFit="1" customWidth="1"/>
    <col min="10" max="16384" width="9.140625" style="23"/>
  </cols>
  <sheetData>
    <row r="1" spans="1:10" x14ac:dyDescent="0.25">
      <c r="A1" s="29" t="s">
        <v>64</v>
      </c>
      <c r="B1" s="29" t="s">
        <v>1140</v>
      </c>
      <c r="C1" s="29" t="s">
        <v>58</v>
      </c>
      <c r="D1" s="29" t="s">
        <v>60</v>
      </c>
      <c r="E1" s="29" t="s">
        <v>61</v>
      </c>
      <c r="F1" s="29" t="s">
        <v>320</v>
      </c>
      <c r="G1" s="29" t="s">
        <v>63</v>
      </c>
      <c r="H1" s="30" t="s">
        <v>1445</v>
      </c>
      <c r="I1" s="30" t="s">
        <v>1534</v>
      </c>
      <c r="J1" s="30" t="s">
        <v>239</v>
      </c>
    </row>
    <row r="2" spans="1:10" ht="30" x14ac:dyDescent="0.25">
      <c r="A2" s="30" t="s">
        <v>39</v>
      </c>
      <c r="B2" s="30" t="s">
        <v>1145</v>
      </c>
      <c r="C2" s="30" t="s">
        <v>1436</v>
      </c>
      <c r="D2" s="30">
        <v>41</v>
      </c>
      <c r="E2" s="30" t="s">
        <v>97</v>
      </c>
      <c r="F2" s="30" t="s">
        <v>1437</v>
      </c>
      <c r="G2" s="30" t="s">
        <v>70</v>
      </c>
      <c r="H2" s="30">
        <v>0</v>
      </c>
      <c r="I2" s="30" t="s">
        <v>1141</v>
      </c>
      <c r="J2" s="30" t="str">
        <f>IF(C2&lt;&gt;"-","done","pending")</f>
        <v>done</v>
      </c>
    </row>
    <row r="3" spans="1:10" ht="30" x14ac:dyDescent="0.25">
      <c r="A3" s="30" t="s">
        <v>38</v>
      </c>
      <c r="B3" s="30" t="s">
        <v>1146</v>
      </c>
      <c r="C3" s="30" t="s">
        <v>1439</v>
      </c>
      <c r="D3" s="30">
        <v>64</v>
      </c>
      <c r="E3" s="30" t="s">
        <v>849</v>
      </c>
      <c r="F3" s="30" t="s">
        <v>1438</v>
      </c>
      <c r="G3" s="30" t="s">
        <v>70</v>
      </c>
      <c r="H3" s="30">
        <v>0</v>
      </c>
      <c r="I3" s="30" t="s">
        <v>1141</v>
      </c>
      <c r="J3" s="30" t="str">
        <f t="shared" ref="J3:J66" si="0">IF(C3&lt;&gt;"-","done","pending")</f>
        <v>done</v>
      </c>
    </row>
    <row r="4" spans="1:10" ht="45" x14ac:dyDescent="0.25">
      <c r="A4" s="30" t="s">
        <v>27</v>
      </c>
      <c r="B4" s="30" t="s">
        <v>1147</v>
      </c>
      <c r="C4" s="30" t="s">
        <v>1441</v>
      </c>
      <c r="D4" s="30">
        <v>65</v>
      </c>
      <c r="E4" s="30" t="s">
        <v>847</v>
      </c>
      <c r="F4" s="30" t="s">
        <v>1440</v>
      </c>
      <c r="G4" s="30" t="s">
        <v>71</v>
      </c>
      <c r="H4" s="30">
        <v>4</v>
      </c>
      <c r="I4" s="30" t="s">
        <v>1141</v>
      </c>
      <c r="J4" s="30" t="str">
        <f t="shared" si="0"/>
        <v>done</v>
      </c>
    </row>
    <row r="5" spans="1:10" ht="30" x14ac:dyDescent="0.25">
      <c r="A5" s="30" t="s">
        <v>43</v>
      </c>
      <c r="B5" s="30" t="s">
        <v>1148</v>
      </c>
      <c r="C5" s="30" t="s">
        <v>1443</v>
      </c>
      <c r="D5" s="30">
        <v>37</v>
      </c>
      <c r="E5" s="30" t="s">
        <v>853</v>
      </c>
      <c r="F5" s="30" t="s">
        <v>1442</v>
      </c>
      <c r="G5" s="30" t="s">
        <v>70</v>
      </c>
      <c r="H5" s="30">
        <v>9</v>
      </c>
      <c r="I5" s="30" t="s">
        <v>1446</v>
      </c>
      <c r="J5" s="30" t="str">
        <f t="shared" si="0"/>
        <v>done</v>
      </c>
    </row>
    <row r="6" spans="1:10" ht="45" x14ac:dyDescent="0.25">
      <c r="A6" s="30" t="s">
        <v>41</v>
      </c>
      <c r="B6" s="30" t="s">
        <v>1142</v>
      </c>
      <c r="C6" s="30" t="s">
        <v>1444</v>
      </c>
      <c r="D6" s="30">
        <v>43</v>
      </c>
      <c r="E6" s="30" t="s">
        <v>853</v>
      </c>
      <c r="F6" s="30" t="s">
        <v>228</v>
      </c>
      <c r="G6" s="30" t="s">
        <v>70</v>
      </c>
      <c r="H6" s="30">
        <v>10</v>
      </c>
      <c r="I6" s="30" t="s">
        <v>1447</v>
      </c>
      <c r="J6" s="30" t="str">
        <f t="shared" si="0"/>
        <v>done</v>
      </c>
    </row>
    <row r="7" spans="1:10" x14ac:dyDescent="0.25">
      <c r="A7" s="30" t="s">
        <v>21</v>
      </c>
      <c r="B7" s="30" t="s">
        <v>1149</v>
      </c>
      <c r="C7" s="30" t="s">
        <v>1141</v>
      </c>
      <c r="D7" s="30">
        <v>15</v>
      </c>
      <c r="E7" s="30" t="s">
        <v>1141</v>
      </c>
      <c r="F7" s="30" t="s">
        <v>1141</v>
      </c>
      <c r="G7" s="30" t="s">
        <v>1141</v>
      </c>
      <c r="H7" s="30">
        <v>0</v>
      </c>
      <c r="I7" s="30" t="s">
        <v>1141</v>
      </c>
      <c r="J7" s="30" t="str">
        <f t="shared" si="0"/>
        <v>pending</v>
      </c>
    </row>
    <row r="8" spans="1:10" ht="30" x14ac:dyDescent="0.25">
      <c r="A8" s="30" t="s">
        <v>23</v>
      </c>
      <c r="B8" s="30" t="s">
        <v>1150</v>
      </c>
      <c r="C8" s="30" t="s">
        <v>1448</v>
      </c>
      <c r="D8" s="30">
        <v>24</v>
      </c>
      <c r="E8" s="30" t="s">
        <v>93</v>
      </c>
      <c r="F8" s="30" t="s">
        <v>1449</v>
      </c>
      <c r="G8" s="30" t="s">
        <v>71</v>
      </c>
      <c r="H8" s="30">
        <v>0</v>
      </c>
      <c r="I8" s="30" t="s">
        <v>1141</v>
      </c>
      <c r="J8" s="30" t="str">
        <f t="shared" si="0"/>
        <v>done</v>
      </c>
    </row>
    <row r="9" spans="1:10" ht="30" x14ac:dyDescent="0.25">
      <c r="A9" s="30" t="s">
        <v>22</v>
      </c>
      <c r="B9" s="30" t="s">
        <v>1151</v>
      </c>
      <c r="C9" s="30" t="s">
        <v>1141</v>
      </c>
      <c r="D9" s="30">
        <v>95</v>
      </c>
      <c r="E9" s="30" t="s">
        <v>853</v>
      </c>
      <c r="F9" s="30" t="s">
        <v>1141</v>
      </c>
      <c r="G9" s="30" t="s">
        <v>1141</v>
      </c>
      <c r="H9" s="30">
        <v>0</v>
      </c>
      <c r="I9" s="30" t="s">
        <v>1141</v>
      </c>
      <c r="J9" s="30" t="str">
        <f t="shared" si="0"/>
        <v>pending</v>
      </c>
    </row>
    <row r="10" spans="1:10" ht="45" x14ac:dyDescent="0.25">
      <c r="A10" s="30" t="s">
        <v>47</v>
      </c>
      <c r="B10" s="30" t="s">
        <v>1152</v>
      </c>
      <c r="C10" s="30" t="s">
        <v>1452</v>
      </c>
      <c r="D10" s="30">
        <v>21</v>
      </c>
      <c r="E10" s="30" t="s">
        <v>1450</v>
      </c>
      <c r="F10" s="30" t="s">
        <v>1451</v>
      </c>
      <c r="G10" s="30" t="s">
        <v>71</v>
      </c>
      <c r="H10" s="30">
        <v>0</v>
      </c>
      <c r="I10" s="30" t="s">
        <v>1141</v>
      </c>
      <c r="J10" s="30" t="str">
        <f t="shared" si="0"/>
        <v>done</v>
      </c>
    </row>
    <row r="11" spans="1:10" ht="45" x14ac:dyDescent="0.25">
      <c r="A11" s="30" t="s">
        <v>45</v>
      </c>
      <c r="B11" s="30" t="s">
        <v>1153</v>
      </c>
      <c r="C11" s="30" t="s">
        <v>1453</v>
      </c>
      <c r="D11" s="30">
        <v>54</v>
      </c>
      <c r="E11" s="30" t="s">
        <v>853</v>
      </c>
      <c r="F11" s="30" t="s">
        <v>1454</v>
      </c>
      <c r="G11" s="30" t="s">
        <v>70</v>
      </c>
      <c r="H11" s="30">
        <v>0</v>
      </c>
      <c r="I11" s="30" t="s">
        <v>1141</v>
      </c>
      <c r="J11" s="30" t="str">
        <f t="shared" si="0"/>
        <v>done</v>
      </c>
    </row>
    <row r="12" spans="1:10" ht="45" x14ac:dyDescent="0.25">
      <c r="A12" s="30" t="s">
        <v>40</v>
      </c>
      <c r="B12" s="30" t="s">
        <v>1154</v>
      </c>
      <c r="C12" s="30" t="s">
        <v>1455</v>
      </c>
      <c r="D12" s="30">
        <v>48</v>
      </c>
      <c r="E12" s="30" t="s">
        <v>853</v>
      </c>
      <c r="F12" s="30" t="s">
        <v>1456</v>
      </c>
      <c r="G12" s="30" t="s">
        <v>70</v>
      </c>
      <c r="H12" s="30">
        <v>4</v>
      </c>
      <c r="I12" s="30" t="s">
        <v>1457</v>
      </c>
      <c r="J12" s="30" t="str">
        <f t="shared" si="0"/>
        <v>done</v>
      </c>
    </row>
    <row r="13" spans="1:10" ht="30" x14ac:dyDescent="0.25">
      <c r="A13" s="30" t="s">
        <v>53</v>
      </c>
      <c r="B13" s="30" t="s">
        <v>1155</v>
      </c>
      <c r="C13" s="30" t="s">
        <v>1458</v>
      </c>
      <c r="D13" s="30">
        <v>49</v>
      </c>
      <c r="E13" s="30" t="s">
        <v>1459</v>
      </c>
      <c r="F13" s="30" t="s">
        <v>1460</v>
      </c>
      <c r="G13" s="30" t="s">
        <v>69</v>
      </c>
      <c r="H13" s="30">
        <v>4</v>
      </c>
      <c r="I13" s="30" t="s">
        <v>1461</v>
      </c>
      <c r="J13" s="30" t="str">
        <f t="shared" si="0"/>
        <v>done</v>
      </c>
    </row>
    <row r="14" spans="1:10" ht="75" x14ac:dyDescent="0.25">
      <c r="A14" s="30" t="s">
        <v>42</v>
      </c>
      <c r="B14" s="30" t="s">
        <v>1143</v>
      </c>
      <c r="C14" s="30" t="s">
        <v>1464</v>
      </c>
      <c r="D14" s="30">
        <v>50</v>
      </c>
      <c r="E14" s="30" t="s">
        <v>848</v>
      </c>
      <c r="F14" s="30" t="s">
        <v>1462</v>
      </c>
      <c r="G14" s="30" t="s">
        <v>71</v>
      </c>
      <c r="H14" s="30">
        <v>3</v>
      </c>
      <c r="I14" s="30" t="s">
        <v>1463</v>
      </c>
      <c r="J14" s="30" t="str">
        <f t="shared" si="0"/>
        <v>done</v>
      </c>
    </row>
    <row r="15" spans="1:10" ht="45" x14ac:dyDescent="0.25">
      <c r="A15" s="30" t="s">
        <v>44</v>
      </c>
      <c r="B15" s="30" t="s">
        <v>1156</v>
      </c>
      <c r="C15" s="30" t="s">
        <v>1466</v>
      </c>
      <c r="D15" s="30">
        <v>62</v>
      </c>
      <c r="E15" s="30" t="s">
        <v>848</v>
      </c>
      <c r="F15" s="30" t="s">
        <v>1465</v>
      </c>
      <c r="G15" s="30" t="s">
        <v>71</v>
      </c>
      <c r="H15" s="30">
        <v>0</v>
      </c>
      <c r="I15" s="30" t="s">
        <v>1141</v>
      </c>
      <c r="J15" s="30" t="str">
        <f t="shared" si="0"/>
        <v>done</v>
      </c>
    </row>
    <row r="16" spans="1:10" ht="30" x14ac:dyDescent="0.25">
      <c r="A16" s="30" t="s">
        <v>858</v>
      </c>
      <c r="B16" s="30" t="s">
        <v>1157</v>
      </c>
      <c r="C16" s="30" t="s">
        <v>1535</v>
      </c>
      <c r="D16" s="30">
        <v>53</v>
      </c>
      <c r="E16" s="30" t="s">
        <v>853</v>
      </c>
      <c r="F16" s="30" t="s">
        <v>1536</v>
      </c>
      <c r="G16" s="30" t="s">
        <v>70</v>
      </c>
      <c r="H16" s="30">
        <v>0</v>
      </c>
      <c r="I16" s="30" t="s">
        <v>1141</v>
      </c>
      <c r="J16" s="30" t="str">
        <f t="shared" si="0"/>
        <v>done</v>
      </c>
    </row>
    <row r="17" spans="1:10" ht="45" x14ac:dyDescent="0.25">
      <c r="A17" s="30" t="s">
        <v>859</v>
      </c>
      <c r="B17" s="30" t="s">
        <v>1158</v>
      </c>
      <c r="C17" s="30" t="s">
        <v>1467</v>
      </c>
      <c r="D17" s="30">
        <v>11</v>
      </c>
      <c r="E17" s="30" t="s">
        <v>849</v>
      </c>
      <c r="F17" s="30" t="s">
        <v>169</v>
      </c>
      <c r="G17" s="30" t="s">
        <v>71</v>
      </c>
      <c r="H17" s="30">
        <v>10</v>
      </c>
      <c r="I17" s="30" t="s">
        <v>1468</v>
      </c>
      <c r="J17" s="30" t="str">
        <f t="shared" si="0"/>
        <v>done</v>
      </c>
    </row>
    <row r="18" spans="1:10" ht="45" x14ac:dyDescent="0.25">
      <c r="A18" s="30" t="s">
        <v>860</v>
      </c>
      <c r="B18" s="30" t="s">
        <v>1159</v>
      </c>
      <c r="C18" s="30" t="s">
        <v>1471</v>
      </c>
      <c r="D18" s="30">
        <v>20</v>
      </c>
      <c r="E18" s="30" t="s">
        <v>849</v>
      </c>
      <c r="F18" s="30" t="s">
        <v>1472</v>
      </c>
      <c r="G18" s="30" t="s">
        <v>70</v>
      </c>
      <c r="H18" s="30">
        <v>7</v>
      </c>
      <c r="I18" s="30" t="s">
        <v>1144</v>
      </c>
      <c r="J18" s="30" t="str">
        <f t="shared" si="0"/>
        <v>done</v>
      </c>
    </row>
    <row r="19" spans="1:10" ht="75" x14ac:dyDescent="0.25">
      <c r="A19" s="30" t="s">
        <v>861</v>
      </c>
      <c r="B19" s="30" t="s">
        <v>1160</v>
      </c>
      <c r="C19" s="30" t="s">
        <v>1473</v>
      </c>
      <c r="D19" s="30">
        <v>63</v>
      </c>
      <c r="E19" s="30" t="s">
        <v>847</v>
      </c>
      <c r="F19" s="30" t="s">
        <v>1474</v>
      </c>
      <c r="G19" s="30" t="s">
        <v>71</v>
      </c>
      <c r="H19" s="30">
        <v>0</v>
      </c>
      <c r="I19" s="30" t="s">
        <v>1141</v>
      </c>
      <c r="J19" s="30" t="str">
        <f t="shared" si="0"/>
        <v>done</v>
      </c>
    </row>
    <row r="20" spans="1:10" ht="60" x14ac:dyDescent="0.25">
      <c r="A20" s="30" t="s">
        <v>862</v>
      </c>
      <c r="B20" s="30" t="s">
        <v>1161</v>
      </c>
      <c r="C20" s="30" t="s">
        <v>1480</v>
      </c>
      <c r="D20" s="30">
        <v>91</v>
      </c>
      <c r="E20" s="30" t="s">
        <v>847</v>
      </c>
      <c r="F20" s="30" t="s">
        <v>1475</v>
      </c>
      <c r="G20" s="30" t="s">
        <v>71</v>
      </c>
      <c r="H20" s="30">
        <v>0</v>
      </c>
      <c r="I20" s="30" t="s">
        <v>1141</v>
      </c>
      <c r="J20" s="30" t="str">
        <f t="shared" si="0"/>
        <v>done</v>
      </c>
    </row>
    <row r="21" spans="1:10" ht="45" x14ac:dyDescent="0.25">
      <c r="A21" s="30" t="s">
        <v>863</v>
      </c>
      <c r="B21" s="30" t="s">
        <v>1162</v>
      </c>
      <c r="C21" s="30" t="s">
        <v>1479</v>
      </c>
      <c r="D21" s="30">
        <v>74</v>
      </c>
      <c r="E21" s="30" t="s">
        <v>847</v>
      </c>
      <c r="F21" s="30" t="s">
        <v>1476</v>
      </c>
      <c r="G21" s="30" t="s">
        <v>71</v>
      </c>
      <c r="H21" s="30">
        <v>10</v>
      </c>
      <c r="I21" s="30" t="s">
        <v>734</v>
      </c>
      <c r="J21" s="30" t="str">
        <f t="shared" si="0"/>
        <v>done</v>
      </c>
    </row>
    <row r="22" spans="1:10" ht="30" x14ac:dyDescent="0.25">
      <c r="A22" s="30" t="s">
        <v>864</v>
      </c>
      <c r="B22" s="30" t="s">
        <v>1163</v>
      </c>
      <c r="C22" s="30" t="s">
        <v>1537</v>
      </c>
      <c r="D22" s="30">
        <v>42</v>
      </c>
      <c r="E22" s="30" t="s">
        <v>845</v>
      </c>
      <c r="F22" s="30" t="s">
        <v>724</v>
      </c>
      <c r="G22" s="30" t="s">
        <v>69</v>
      </c>
      <c r="H22" s="30">
        <v>0</v>
      </c>
      <c r="I22" s="30" t="s">
        <v>1141</v>
      </c>
      <c r="J22" s="30" t="str">
        <f t="shared" si="0"/>
        <v>done</v>
      </c>
    </row>
    <row r="23" spans="1:10" x14ac:dyDescent="0.25">
      <c r="A23" s="30" t="s">
        <v>865</v>
      </c>
      <c r="B23" s="30" t="s">
        <v>1164</v>
      </c>
      <c r="C23" s="30" t="s">
        <v>1141</v>
      </c>
      <c r="D23" s="30"/>
      <c r="E23" s="30"/>
      <c r="F23" s="30"/>
      <c r="G23" s="30"/>
      <c r="H23" s="30"/>
      <c r="I23" s="30"/>
      <c r="J23" s="30" t="str">
        <f t="shared" si="0"/>
        <v>pending</v>
      </c>
    </row>
    <row r="24" spans="1:10" ht="30" x14ac:dyDescent="0.25">
      <c r="A24" s="30" t="s">
        <v>866</v>
      </c>
      <c r="B24" s="30" t="s">
        <v>1165</v>
      </c>
      <c r="C24" s="30" t="s">
        <v>1141</v>
      </c>
      <c r="D24" s="30"/>
      <c r="E24" s="30"/>
      <c r="F24" s="30"/>
      <c r="G24" s="30"/>
      <c r="H24" s="30"/>
      <c r="I24" s="30"/>
      <c r="J24" s="30" t="str">
        <f t="shared" si="0"/>
        <v>pending</v>
      </c>
    </row>
    <row r="25" spans="1:10" ht="30" x14ac:dyDescent="0.25">
      <c r="A25" s="30" t="s">
        <v>867</v>
      </c>
      <c r="B25" s="30" t="s">
        <v>1166</v>
      </c>
      <c r="C25" s="30" t="s">
        <v>1141</v>
      </c>
      <c r="D25" s="30"/>
      <c r="E25" s="30"/>
      <c r="F25" s="30"/>
      <c r="G25" s="30"/>
      <c r="H25" s="30"/>
      <c r="I25" s="30"/>
      <c r="J25" s="30" t="str">
        <f t="shared" si="0"/>
        <v>pending</v>
      </c>
    </row>
    <row r="26" spans="1:10" ht="30" x14ac:dyDescent="0.25">
      <c r="A26" s="30" t="s">
        <v>868</v>
      </c>
      <c r="B26" s="30" t="s">
        <v>1167</v>
      </c>
      <c r="C26" s="30" t="s">
        <v>1141</v>
      </c>
      <c r="D26" s="30"/>
      <c r="E26" s="30"/>
      <c r="F26" s="30"/>
      <c r="G26" s="30"/>
      <c r="H26" s="30"/>
      <c r="I26" s="30"/>
      <c r="J26" s="30" t="str">
        <f t="shared" si="0"/>
        <v>pending</v>
      </c>
    </row>
    <row r="27" spans="1:10" ht="30" x14ac:dyDescent="0.25">
      <c r="A27" s="30" t="s">
        <v>869</v>
      </c>
      <c r="B27" s="30" t="s">
        <v>1168</v>
      </c>
      <c r="C27" s="30" t="s">
        <v>1141</v>
      </c>
      <c r="D27" s="30"/>
      <c r="E27" s="30"/>
      <c r="F27" s="30"/>
      <c r="G27" s="30"/>
      <c r="H27" s="30"/>
      <c r="I27" s="30"/>
      <c r="J27" s="30" t="str">
        <f t="shared" si="0"/>
        <v>pending</v>
      </c>
    </row>
    <row r="28" spans="1:10" ht="30" x14ac:dyDescent="0.25">
      <c r="A28" s="30" t="s">
        <v>870</v>
      </c>
      <c r="B28" s="30" t="s">
        <v>1169</v>
      </c>
      <c r="C28" s="30" t="s">
        <v>1141</v>
      </c>
      <c r="D28" s="30"/>
      <c r="E28" s="30"/>
      <c r="F28" s="30"/>
      <c r="G28" s="30"/>
      <c r="H28" s="30"/>
      <c r="I28" s="30"/>
      <c r="J28" s="30" t="str">
        <f t="shared" si="0"/>
        <v>pending</v>
      </c>
    </row>
    <row r="29" spans="1:10" ht="30" x14ac:dyDescent="0.25">
      <c r="A29" s="30" t="s">
        <v>871</v>
      </c>
      <c r="B29" s="30" t="s">
        <v>1170</v>
      </c>
      <c r="C29" s="30" t="s">
        <v>1141</v>
      </c>
      <c r="D29" s="30"/>
      <c r="E29" s="30"/>
      <c r="F29" s="30"/>
      <c r="G29" s="30"/>
      <c r="H29" s="30"/>
      <c r="I29" s="30"/>
      <c r="J29" s="30" t="str">
        <f t="shared" si="0"/>
        <v>pending</v>
      </c>
    </row>
    <row r="30" spans="1:10" x14ac:dyDescent="0.25">
      <c r="A30" s="30" t="s">
        <v>872</v>
      </c>
      <c r="B30" s="30" t="s">
        <v>1171</v>
      </c>
      <c r="C30" s="30" t="s">
        <v>1141</v>
      </c>
      <c r="D30" s="30"/>
      <c r="E30" s="30"/>
      <c r="F30" s="30"/>
      <c r="G30" s="30"/>
      <c r="H30" s="30"/>
      <c r="I30" s="30"/>
      <c r="J30" s="30" t="str">
        <f t="shared" si="0"/>
        <v>pending</v>
      </c>
    </row>
    <row r="31" spans="1:10" ht="30" x14ac:dyDescent="0.25">
      <c r="A31" s="30" t="s">
        <v>873</v>
      </c>
      <c r="B31" s="30" t="s">
        <v>1172</v>
      </c>
      <c r="C31" s="30" t="s">
        <v>1141</v>
      </c>
      <c r="D31" s="30"/>
      <c r="E31" s="30"/>
      <c r="F31" s="30"/>
      <c r="G31" s="30"/>
      <c r="H31" s="30"/>
      <c r="I31" s="30"/>
      <c r="J31" s="30" t="str">
        <f t="shared" si="0"/>
        <v>pending</v>
      </c>
    </row>
    <row r="32" spans="1:10" ht="30" x14ac:dyDescent="0.25">
      <c r="A32" s="30" t="s">
        <v>874</v>
      </c>
      <c r="B32" s="30" t="s">
        <v>1173</v>
      </c>
      <c r="C32" s="30" t="s">
        <v>1141</v>
      </c>
      <c r="D32" s="30"/>
      <c r="E32" s="30"/>
      <c r="F32" s="30"/>
      <c r="G32" s="30"/>
      <c r="H32" s="30"/>
      <c r="I32" s="30"/>
      <c r="J32" s="30" t="str">
        <f t="shared" si="0"/>
        <v>pending</v>
      </c>
    </row>
    <row r="33" spans="1:10" ht="30" x14ac:dyDescent="0.25">
      <c r="A33" s="30" t="s">
        <v>875</v>
      </c>
      <c r="B33" s="30" t="s">
        <v>1174</v>
      </c>
      <c r="C33" s="30" t="s">
        <v>1141</v>
      </c>
      <c r="D33" s="30"/>
      <c r="E33" s="30"/>
      <c r="F33" s="30"/>
      <c r="G33" s="30"/>
      <c r="H33" s="30"/>
      <c r="I33" s="30"/>
      <c r="J33" s="30" t="str">
        <f t="shared" si="0"/>
        <v>pending</v>
      </c>
    </row>
    <row r="34" spans="1:10" ht="30" x14ac:dyDescent="0.25">
      <c r="A34" s="30" t="s">
        <v>876</v>
      </c>
      <c r="B34" s="30" t="s">
        <v>1175</v>
      </c>
      <c r="C34" s="30" t="s">
        <v>1141</v>
      </c>
      <c r="D34" s="30"/>
      <c r="E34" s="30"/>
      <c r="F34" s="30"/>
      <c r="G34" s="30"/>
      <c r="H34" s="30"/>
      <c r="I34" s="30"/>
      <c r="J34" s="30" t="str">
        <f t="shared" si="0"/>
        <v>pending</v>
      </c>
    </row>
    <row r="35" spans="1:10" ht="30" x14ac:dyDescent="0.25">
      <c r="A35" s="30" t="s">
        <v>877</v>
      </c>
      <c r="B35" s="30" t="s">
        <v>1176</v>
      </c>
      <c r="C35" s="30" t="s">
        <v>1141</v>
      </c>
      <c r="D35" s="30"/>
      <c r="E35" s="30"/>
      <c r="F35" s="30"/>
      <c r="G35" s="30"/>
      <c r="H35" s="30"/>
      <c r="I35" s="30"/>
      <c r="J35" s="30" t="str">
        <f t="shared" si="0"/>
        <v>pending</v>
      </c>
    </row>
    <row r="36" spans="1:10" x14ac:dyDescent="0.25">
      <c r="A36" s="30" t="s">
        <v>878</v>
      </c>
      <c r="B36" s="30" t="s">
        <v>1177</v>
      </c>
      <c r="C36" s="30" t="s">
        <v>1141</v>
      </c>
      <c r="D36" s="30"/>
      <c r="E36" s="30"/>
      <c r="F36" s="30"/>
      <c r="G36" s="30"/>
      <c r="H36" s="30"/>
      <c r="I36" s="30"/>
      <c r="J36" s="30" t="str">
        <f t="shared" si="0"/>
        <v>pending</v>
      </c>
    </row>
    <row r="37" spans="1:10" x14ac:dyDescent="0.25">
      <c r="A37" s="30" t="s">
        <v>879</v>
      </c>
      <c r="B37" s="30" t="s">
        <v>1178</v>
      </c>
      <c r="C37" s="30" t="s">
        <v>1141</v>
      </c>
      <c r="D37" s="30"/>
      <c r="E37" s="30"/>
      <c r="F37" s="30"/>
      <c r="G37" s="30"/>
      <c r="H37" s="30"/>
      <c r="I37" s="30"/>
      <c r="J37" s="30" t="str">
        <f t="shared" si="0"/>
        <v>pending</v>
      </c>
    </row>
    <row r="38" spans="1:10" x14ac:dyDescent="0.25">
      <c r="A38" s="30" t="s">
        <v>880</v>
      </c>
      <c r="B38" s="30" t="s">
        <v>1179</v>
      </c>
      <c r="C38" s="30" t="s">
        <v>1141</v>
      </c>
      <c r="D38" s="30"/>
      <c r="E38" s="30"/>
      <c r="F38" s="30"/>
      <c r="G38" s="30"/>
      <c r="H38" s="30"/>
      <c r="I38" s="30"/>
      <c r="J38" s="30" t="str">
        <f t="shared" si="0"/>
        <v>pending</v>
      </c>
    </row>
    <row r="39" spans="1:10" x14ac:dyDescent="0.25">
      <c r="A39" s="30" t="s">
        <v>881</v>
      </c>
      <c r="B39" s="30" t="s">
        <v>1180</v>
      </c>
      <c r="C39" s="30" t="s">
        <v>1141</v>
      </c>
      <c r="D39" s="30"/>
      <c r="E39" s="30"/>
      <c r="F39" s="30"/>
      <c r="G39" s="30"/>
      <c r="H39" s="30"/>
      <c r="I39" s="30"/>
      <c r="J39" s="30" t="str">
        <f t="shared" si="0"/>
        <v>pending</v>
      </c>
    </row>
    <row r="40" spans="1:10" ht="30" x14ac:dyDescent="0.25">
      <c r="A40" s="30" t="s">
        <v>882</v>
      </c>
      <c r="B40" s="30" t="s">
        <v>1181</v>
      </c>
      <c r="C40" s="30" t="s">
        <v>1141</v>
      </c>
      <c r="D40" s="30"/>
      <c r="E40" s="30"/>
      <c r="F40" s="30"/>
      <c r="G40" s="30"/>
      <c r="H40" s="30"/>
      <c r="I40" s="30"/>
      <c r="J40" s="30" t="str">
        <f t="shared" si="0"/>
        <v>pending</v>
      </c>
    </row>
    <row r="41" spans="1:10" ht="30" x14ac:dyDescent="0.25">
      <c r="A41" s="30" t="s">
        <v>883</v>
      </c>
      <c r="B41" s="30" t="s">
        <v>1182</v>
      </c>
      <c r="C41" s="30" t="s">
        <v>1141</v>
      </c>
      <c r="D41" s="30"/>
      <c r="E41" s="30"/>
      <c r="F41" s="30"/>
      <c r="G41" s="30"/>
      <c r="H41" s="30"/>
      <c r="I41" s="30"/>
      <c r="J41" s="30" t="str">
        <f t="shared" si="0"/>
        <v>pending</v>
      </c>
    </row>
    <row r="42" spans="1:10" x14ac:dyDescent="0.25">
      <c r="A42" s="30" t="s">
        <v>884</v>
      </c>
      <c r="B42" s="30" t="s">
        <v>1183</v>
      </c>
      <c r="C42" s="30" t="s">
        <v>1141</v>
      </c>
      <c r="D42" s="30"/>
      <c r="E42" s="30"/>
      <c r="F42" s="30"/>
      <c r="G42" s="30"/>
      <c r="H42" s="30"/>
      <c r="I42" s="30"/>
      <c r="J42" s="30" t="str">
        <f t="shared" si="0"/>
        <v>pending</v>
      </c>
    </row>
    <row r="43" spans="1:10" x14ac:dyDescent="0.25">
      <c r="A43" s="30" t="s">
        <v>885</v>
      </c>
      <c r="B43" s="30" t="s">
        <v>1184</v>
      </c>
      <c r="C43" s="30" t="s">
        <v>1141</v>
      </c>
      <c r="D43" s="30"/>
      <c r="E43" s="30"/>
      <c r="F43" s="30"/>
      <c r="G43" s="30"/>
      <c r="H43" s="30"/>
      <c r="I43" s="30"/>
      <c r="J43" s="30" t="str">
        <f t="shared" si="0"/>
        <v>pending</v>
      </c>
    </row>
    <row r="44" spans="1:10" ht="30" x14ac:dyDescent="0.25">
      <c r="A44" s="30" t="s">
        <v>886</v>
      </c>
      <c r="B44" s="30" t="s">
        <v>1185</v>
      </c>
      <c r="C44" s="30" t="s">
        <v>1141</v>
      </c>
      <c r="D44" s="30"/>
      <c r="E44" s="30"/>
      <c r="F44" s="30"/>
      <c r="G44" s="30"/>
      <c r="H44" s="30"/>
      <c r="I44" s="30"/>
      <c r="J44" s="30" t="str">
        <f t="shared" si="0"/>
        <v>pending</v>
      </c>
    </row>
    <row r="45" spans="1:10" x14ac:dyDescent="0.25">
      <c r="A45" s="30" t="s">
        <v>887</v>
      </c>
      <c r="B45" s="30" t="s">
        <v>1186</v>
      </c>
      <c r="C45" s="30" t="s">
        <v>1141</v>
      </c>
      <c r="D45" s="30"/>
      <c r="E45" s="30"/>
      <c r="F45" s="30"/>
      <c r="G45" s="30"/>
      <c r="H45" s="30"/>
      <c r="I45" s="30"/>
      <c r="J45" s="30" t="str">
        <f t="shared" si="0"/>
        <v>pending</v>
      </c>
    </row>
    <row r="46" spans="1:10" x14ac:dyDescent="0.25">
      <c r="A46" s="30" t="s">
        <v>888</v>
      </c>
      <c r="B46" s="30" t="s">
        <v>1187</v>
      </c>
      <c r="C46" s="30" t="s">
        <v>1141</v>
      </c>
      <c r="D46" s="30"/>
      <c r="E46" s="30"/>
      <c r="F46" s="30"/>
      <c r="G46" s="30"/>
      <c r="H46" s="30"/>
      <c r="I46" s="30"/>
      <c r="J46" s="30" t="str">
        <f t="shared" si="0"/>
        <v>pending</v>
      </c>
    </row>
    <row r="47" spans="1:10" x14ac:dyDescent="0.25">
      <c r="A47" s="30" t="s">
        <v>889</v>
      </c>
      <c r="B47" s="30" t="s">
        <v>1188</v>
      </c>
      <c r="C47" s="30" t="s">
        <v>1141</v>
      </c>
      <c r="D47" s="30"/>
      <c r="E47" s="30"/>
      <c r="F47" s="30"/>
      <c r="G47" s="30"/>
      <c r="H47" s="30"/>
      <c r="I47" s="30"/>
      <c r="J47" s="30" t="str">
        <f t="shared" si="0"/>
        <v>pending</v>
      </c>
    </row>
    <row r="48" spans="1:10" ht="30" x14ac:dyDescent="0.25">
      <c r="A48" s="30" t="s">
        <v>890</v>
      </c>
      <c r="B48" s="30" t="s">
        <v>1189</v>
      </c>
      <c r="C48" s="30" t="s">
        <v>1141</v>
      </c>
      <c r="D48" s="30"/>
      <c r="E48" s="30"/>
      <c r="F48" s="30"/>
      <c r="G48" s="30"/>
      <c r="H48" s="30"/>
      <c r="I48" s="30"/>
      <c r="J48" s="30" t="str">
        <f t="shared" si="0"/>
        <v>pending</v>
      </c>
    </row>
    <row r="49" spans="1:10" ht="30" x14ac:dyDescent="0.25">
      <c r="A49" s="30" t="s">
        <v>891</v>
      </c>
      <c r="B49" s="30" t="s">
        <v>1190</v>
      </c>
      <c r="C49" s="30" t="s">
        <v>1141</v>
      </c>
      <c r="D49" s="30"/>
      <c r="E49" s="30"/>
      <c r="F49" s="30"/>
      <c r="G49" s="30"/>
      <c r="H49" s="30"/>
      <c r="I49" s="30"/>
      <c r="J49" s="30" t="str">
        <f t="shared" si="0"/>
        <v>pending</v>
      </c>
    </row>
    <row r="50" spans="1:10" ht="30" x14ac:dyDescent="0.25">
      <c r="A50" s="30" t="s">
        <v>892</v>
      </c>
      <c r="B50" s="30" t="s">
        <v>1191</v>
      </c>
      <c r="C50" s="30" t="s">
        <v>1141</v>
      </c>
      <c r="D50" s="30"/>
      <c r="E50" s="30"/>
      <c r="F50" s="30"/>
      <c r="G50" s="30"/>
      <c r="H50" s="30"/>
      <c r="I50" s="30"/>
      <c r="J50" s="30" t="str">
        <f t="shared" si="0"/>
        <v>pending</v>
      </c>
    </row>
    <row r="51" spans="1:10" ht="30" x14ac:dyDescent="0.25">
      <c r="A51" s="30" t="s">
        <v>893</v>
      </c>
      <c r="B51" s="30" t="s">
        <v>1192</v>
      </c>
      <c r="C51" s="30" t="s">
        <v>1141</v>
      </c>
      <c r="D51" s="30"/>
      <c r="E51" s="30"/>
      <c r="F51" s="30"/>
      <c r="G51" s="30"/>
      <c r="H51" s="30"/>
      <c r="I51" s="30"/>
      <c r="J51" s="30" t="str">
        <f t="shared" si="0"/>
        <v>pending</v>
      </c>
    </row>
    <row r="52" spans="1:10" x14ac:dyDescent="0.25">
      <c r="A52" s="30" t="s">
        <v>894</v>
      </c>
      <c r="B52" s="30" t="s">
        <v>1193</v>
      </c>
      <c r="C52" s="30" t="s">
        <v>1141</v>
      </c>
      <c r="D52" s="30"/>
      <c r="E52" s="30"/>
      <c r="F52" s="30"/>
      <c r="G52" s="30"/>
      <c r="H52" s="30"/>
      <c r="I52" s="30"/>
      <c r="J52" s="30" t="str">
        <f t="shared" si="0"/>
        <v>pending</v>
      </c>
    </row>
    <row r="53" spans="1:10" ht="45" x14ac:dyDescent="0.25">
      <c r="A53" s="30" t="s">
        <v>895</v>
      </c>
      <c r="B53" s="30" t="s">
        <v>1194</v>
      </c>
      <c r="C53" s="30" t="s">
        <v>1141</v>
      </c>
      <c r="D53" s="30"/>
      <c r="E53" s="30"/>
      <c r="F53" s="30"/>
      <c r="G53" s="30"/>
      <c r="H53" s="30"/>
      <c r="I53" s="30"/>
      <c r="J53" s="30" t="str">
        <f t="shared" si="0"/>
        <v>pending</v>
      </c>
    </row>
    <row r="54" spans="1:10" x14ac:dyDescent="0.25">
      <c r="A54" s="30" t="s">
        <v>896</v>
      </c>
      <c r="B54" s="30" t="s">
        <v>1195</v>
      </c>
      <c r="C54" s="30" t="s">
        <v>1141</v>
      </c>
      <c r="D54" s="30"/>
      <c r="E54" s="30"/>
      <c r="F54" s="30"/>
      <c r="G54" s="30"/>
      <c r="H54" s="30"/>
      <c r="I54" s="30"/>
      <c r="J54" s="30" t="str">
        <f t="shared" si="0"/>
        <v>pending</v>
      </c>
    </row>
    <row r="55" spans="1:10" ht="30" x14ac:dyDescent="0.25">
      <c r="A55" s="30" t="s">
        <v>897</v>
      </c>
      <c r="B55" s="30" t="s">
        <v>1196</v>
      </c>
      <c r="C55" s="30" t="s">
        <v>1141</v>
      </c>
      <c r="D55" s="30"/>
      <c r="E55" s="30"/>
      <c r="F55" s="30"/>
      <c r="G55" s="30"/>
      <c r="H55" s="30"/>
      <c r="I55" s="30"/>
      <c r="J55" s="30" t="str">
        <f t="shared" si="0"/>
        <v>pending</v>
      </c>
    </row>
    <row r="56" spans="1:10" ht="30" x14ac:dyDescent="0.25">
      <c r="A56" s="30" t="s">
        <v>898</v>
      </c>
      <c r="B56" s="30" t="s">
        <v>1197</v>
      </c>
      <c r="C56" s="30" t="s">
        <v>1141</v>
      </c>
      <c r="D56" s="30"/>
      <c r="E56" s="30"/>
      <c r="F56" s="30"/>
      <c r="G56" s="30"/>
      <c r="H56" s="30"/>
      <c r="I56" s="30"/>
      <c r="J56" s="30" t="str">
        <f t="shared" si="0"/>
        <v>pending</v>
      </c>
    </row>
    <row r="57" spans="1:10" ht="45" x14ac:dyDescent="0.25">
      <c r="A57" s="30" t="s">
        <v>899</v>
      </c>
      <c r="B57" s="30" t="s">
        <v>1198</v>
      </c>
      <c r="C57" s="30" t="s">
        <v>1141</v>
      </c>
      <c r="D57" s="30"/>
      <c r="E57" s="30"/>
      <c r="F57" s="30"/>
      <c r="G57" s="30"/>
      <c r="H57" s="30"/>
      <c r="I57" s="30"/>
      <c r="J57" s="30" t="str">
        <f t="shared" si="0"/>
        <v>pending</v>
      </c>
    </row>
    <row r="58" spans="1:10" x14ac:dyDescent="0.25">
      <c r="A58" s="30" t="s">
        <v>900</v>
      </c>
      <c r="B58" s="30" t="s">
        <v>1199</v>
      </c>
      <c r="C58" s="30" t="s">
        <v>1141</v>
      </c>
      <c r="D58" s="30"/>
      <c r="E58" s="30"/>
      <c r="F58" s="30"/>
      <c r="G58" s="30"/>
      <c r="H58" s="30"/>
      <c r="I58" s="30"/>
      <c r="J58" s="30" t="str">
        <f t="shared" si="0"/>
        <v>pending</v>
      </c>
    </row>
    <row r="59" spans="1:10" ht="30" x14ac:dyDescent="0.25">
      <c r="A59" s="30" t="s">
        <v>901</v>
      </c>
      <c r="B59" s="30" t="s">
        <v>1200</v>
      </c>
      <c r="C59" s="30" t="s">
        <v>1141</v>
      </c>
      <c r="D59" s="30"/>
      <c r="E59" s="30"/>
      <c r="F59" s="30"/>
      <c r="G59" s="30"/>
      <c r="H59" s="30"/>
      <c r="I59" s="30"/>
      <c r="J59" s="30" t="str">
        <f t="shared" si="0"/>
        <v>pending</v>
      </c>
    </row>
    <row r="60" spans="1:10" x14ac:dyDescent="0.25">
      <c r="A60" s="30" t="s">
        <v>902</v>
      </c>
      <c r="B60" s="30" t="s">
        <v>1201</v>
      </c>
      <c r="C60" s="30" t="s">
        <v>1141</v>
      </c>
      <c r="D60" s="30"/>
      <c r="E60" s="30"/>
      <c r="F60" s="30"/>
      <c r="G60" s="30"/>
      <c r="H60" s="30"/>
      <c r="I60" s="30"/>
      <c r="J60" s="30" t="str">
        <f t="shared" si="0"/>
        <v>pending</v>
      </c>
    </row>
    <row r="61" spans="1:10" x14ac:dyDescent="0.25">
      <c r="A61" s="30" t="s">
        <v>903</v>
      </c>
      <c r="B61" s="30" t="s">
        <v>1202</v>
      </c>
      <c r="C61" s="30" t="s">
        <v>1141</v>
      </c>
      <c r="D61" s="30"/>
      <c r="E61" s="30"/>
      <c r="F61" s="30"/>
      <c r="G61" s="30"/>
      <c r="H61" s="30"/>
      <c r="I61" s="30"/>
      <c r="J61" s="30" t="str">
        <f t="shared" si="0"/>
        <v>pending</v>
      </c>
    </row>
    <row r="62" spans="1:10" ht="30" x14ac:dyDescent="0.25">
      <c r="A62" s="30" t="s">
        <v>904</v>
      </c>
      <c r="B62" s="30" t="s">
        <v>1203</v>
      </c>
      <c r="C62" s="30" t="s">
        <v>1141</v>
      </c>
      <c r="D62" s="30"/>
      <c r="E62" s="30"/>
      <c r="F62" s="30"/>
      <c r="G62" s="30"/>
      <c r="H62" s="30"/>
      <c r="I62" s="30"/>
      <c r="J62" s="30" t="str">
        <f t="shared" si="0"/>
        <v>pending</v>
      </c>
    </row>
    <row r="63" spans="1:10" ht="30" x14ac:dyDescent="0.25">
      <c r="A63" s="30" t="s">
        <v>905</v>
      </c>
      <c r="B63" s="30" t="s">
        <v>1204</v>
      </c>
      <c r="C63" s="30" t="s">
        <v>1141</v>
      </c>
      <c r="D63" s="30"/>
      <c r="E63" s="30"/>
      <c r="F63" s="30"/>
      <c r="G63" s="30"/>
      <c r="H63" s="30"/>
      <c r="I63" s="30"/>
      <c r="J63" s="30" t="str">
        <f t="shared" si="0"/>
        <v>pending</v>
      </c>
    </row>
    <row r="64" spans="1:10" ht="30" x14ac:dyDescent="0.25">
      <c r="A64" s="30" t="s">
        <v>906</v>
      </c>
      <c r="B64" s="30" t="s">
        <v>1205</v>
      </c>
      <c r="C64" s="30" t="s">
        <v>1141</v>
      </c>
      <c r="D64" s="30"/>
      <c r="E64" s="30"/>
      <c r="F64" s="30"/>
      <c r="G64" s="30"/>
      <c r="H64" s="30"/>
      <c r="I64" s="30"/>
      <c r="J64" s="30" t="str">
        <f t="shared" si="0"/>
        <v>pending</v>
      </c>
    </row>
    <row r="65" spans="1:10" x14ac:dyDescent="0.25">
      <c r="A65" s="30" t="s">
        <v>907</v>
      </c>
      <c r="B65" s="30" t="s">
        <v>1144</v>
      </c>
      <c r="C65" s="30" t="s">
        <v>1141</v>
      </c>
      <c r="D65" s="30"/>
      <c r="E65" s="30"/>
      <c r="F65" s="30"/>
      <c r="G65" s="30"/>
      <c r="H65" s="30"/>
      <c r="I65" s="30"/>
      <c r="J65" s="30" t="str">
        <f t="shared" si="0"/>
        <v>pending</v>
      </c>
    </row>
    <row r="66" spans="1:10" ht="30" x14ac:dyDescent="0.25">
      <c r="A66" s="30" t="s">
        <v>908</v>
      </c>
      <c r="B66" s="30" t="s">
        <v>1206</v>
      </c>
      <c r="C66" s="30" t="s">
        <v>1141</v>
      </c>
      <c r="D66" s="30"/>
      <c r="E66" s="30"/>
      <c r="F66" s="30"/>
      <c r="G66" s="30"/>
      <c r="H66" s="30"/>
      <c r="I66" s="30"/>
      <c r="J66" s="30" t="str">
        <f t="shared" si="0"/>
        <v>pending</v>
      </c>
    </row>
    <row r="67" spans="1:10" x14ac:dyDescent="0.25">
      <c r="A67" s="30" t="s">
        <v>909</v>
      </c>
      <c r="B67" s="30" t="s">
        <v>230</v>
      </c>
      <c r="C67" s="30" t="s">
        <v>1141</v>
      </c>
      <c r="D67" s="30"/>
      <c r="E67" s="30"/>
      <c r="F67" s="30"/>
      <c r="G67" s="30"/>
      <c r="H67" s="30"/>
      <c r="I67" s="30"/>
      <c r="J67" s="30" t="str">
        <f t="shared" ref="J67:J130" si="1">IF(C67&lt;&gt;"-","done","pending")</f>
        <v>pending</v>
      </c>
    </row>
    <row r="68" spans="1:10" ht="30" x14ac:dyDescent="0.25">
      <c r="A68" s="30" t="s">
        <v>910</v>
      </c>
      <c r="B68" s="30" t="s">
        <v>1207</v>
      </c>
      <c r="C68" s="30" t="s">
        <v>1141</v>
      </c>
      <c r="D68" s="30"/>
      <c r="E68" s="30"/>
      <c r="F68" s="30"/>
      <c r="G68" s="30"/>
      <c r="H68" s="30"/>
      <c r="I68" s="30"/>
      <c r="J68" s="30" t="str">
        <f t="shared" si="1"/>
        <v>pending</v>
      </c>
    </row>
    <row r="69" spans="1:10" ht="30" x14ac:dyDescent="0.25">
      <c r="A69" s="30" t="s">
        <v>911</v>
      </c>
      <c r="B69" s="30" t="s">
        <v>1208</v>
      </c>
      <c r="C69" s="30" t="s">
        <v>1141</v>
      </c>
      <c r="D69" s="30"/>
      <c r="E69" s="30"/>
      <c r="F69" s="30"/>
      <c r="G69" s="30"/>
      <c r="H69" s="30"/>
      <c r="I69" s="30"/>
      <c r="J69" s="30" t="str">
        <f t="shared" si="1"/>
        <v>pending</v>
      </c>
    </row>
    <row r="70" spans="1:10" ht="30" x14ac:dyDescent="0.25">
      <c r="A70" s="30" t="s">
        <v>912</v>
      </c>
      <c r="B70" s="30" t="s">
        <v>1209</v>
      </c>
      <c r="C70" s="30" t="s">
        <v>1141</v>
      </c>
      <c r="D70" s="30"/>
      <c r="E70" s="30"/>
      <c r="F70" s="30"/>
      <c r="G70" s="30"/>
      <c r="H70" s="30"/>
      <c r="I70" s="30"/>
      <c r="J70" s="30" t="str">
        <f t="shared" si="1"/>
        <v>pending</v>
      </c>
    </row>
    <row r="71" spans="1:10" ht="30" x14ac:dyDescent="0.25">
      <c r="A71" s="30" t="s">
        <v>913</v>
      </c>
      <c r="B71" s="30" t="s">
        <v>1210</v>
      </c>
      <c r="C71" s="30" t="s">
        <v>1141</v>
      </c>
      <c r="D71" s="30"/>
      <c r="E71" s="30"/>
      <c r="F71" s="30"/>
      <c r="G71" s="30"/>
      <c r="H71" s="30"/>
      <c r="I71" s="30"/>
      <c r="J71" s="30" t="str">
        <f t="shared" si="1"/>
        <v>pending</v>
      </c>
    </row>
    <row r="72" spans="1:10" ht="30" x14ac:dyDescent="0.25">
      <c r="A72" s="30" t="s">
        <v>914</v>
      </c>
      <c r="B72" s="30" t="s">
        <v>1211</v>
      </c>
      <c r="C72" s="30" t="s">
        <v>1141</v>
      </c>
      <c r="D72" s="30"/>
      <c r="E72" s="30"/>
      <c r="F72" s="30"/>
      <c r="G72" s="30"/>
      <c r="H72" s="30"/>
      <c r="I72" s="30"/>
      <c r="J72" s="30" t="str">
        <f t="shared" si="1"/>
        <v>pending</v>
      </c>
    </row>
    <row r="73" spans="1:10" ht="30" x14ac:dyDescent="0.25">
      <c r="A73" s="30" t="s">
        <v>915</v>
      </c>
      <c r="B73" s="30" t="s">
        <v>1212</v>
      </c>
      <c r="C73" s="30" t="s">
        <v>1141</v>
      </c>
      <c r="D73" s="30"/>
      <c r="E73" s="30"/>
      <c r="F73" s="30"/>
      <c r="G73" s="30"/>
      <c r="H73" s="30"/>
      <c r="I73" s="30"/>
      <c r="J73" s="30" t="str">
        <f t="shared" si="1"/>
        <v>pending</v>
      </c>
    </row>
    <row r="74" spans="1:10" ht="30" x14ac:dyDescent="0.25">
      <c r="A74" s="30" t="s">
        <v>916</v>
      </c>
      <c r="B74" s="30" t="s">
        <v>1213</v>
      </c>
      <c r="C74" s="30" t="s">
        <v>1141</v>
      </c>
      <c r="D74" s="30"/>
      <c r="E74" s="30"/>
      <c r="F74" s="30"/>
      <c r="G74" s="30"/>
      <c r="H74" s="30"/>
      <c r="I74" s="30"/>
      <c r="J74" s="30" t="str">
        <f t="shared" si="1"/>
        <v>pending</v>
      </c>
    </row>
    <row r="75" spans="1:10" ht="30" x14ac:dyDescent="0.25">
      <c r="A75" s="30" t="s">
        <v>917</v>
      </c>
      <c r="B75" s="30" t="s">
        <v>1214</v>
      </c>
      <c r="C75" s="30" t="s">
        <v>1141</v>
      </c>
      <c r="D75" s="30"/>
      <c r="E75" s="30"/>
      <c r="F75" s="30"/>
      <c r="G75" s="30"/>
      <c r="H75" s="30"/>
      <c r="I75" s="30"/>
      <c r="J75" s="30" t="str">
        <f t="shared" si="1"/>
        <v>pending</v>
      </c>
    </row>
    <row r="76" spans="1:10" x14ac:dyDescent="0.25">
      <c r="A76" s="30" t="s">
        <v>918</v>
      </c>
      <c r="B76" s="30" t="s">
        <v>1215</v>
      </c>
      <c r="C76" s="30" t="s">
        <v>1141</v>
      </c>
      <c r="D76" s="30"/>
      <c r="E76" s="30"/>
      <c r="F76" s="30"/>
      <c r="G76" s="30"/>
      <c r="H76" s="30"/>
      <c r="I76" s="30"/>
      <c r="J76" s="30" t="str">
        <f t="shared" si="1"/>
        <v>pending</v>
      </c>
    </row>
    <row r="77" spans="1:10" ht="30" x14ac:dyDescent="0.25">
      <c r="A77" s="30" t="s">
        <v>919</v>
      </c>
      <c r="B77" s="30" t="s">
        <v>1216</v>
      </c>
      <c r="C77" s="30" t="s">
        <v>1141</v>
      </c>
      <c r="D77" s="30"/>
      <c r="E77" s="30"/>
      <c r="F77" s="30"/>
      <c r="G77" s="30"/>
      <c r="H77" s="30"/>
      <c r="I77" s="30"/>
      <c r="J77" s="30" t="str">
        <f t="shared" si="1"/>
        <v>pending</v>
      </c>
    </row>
    <row r="78" spans="1:10" ht="30" x14ac:dyDescent="0.25">
      <c r="A78" s="30" t="s">
        <v>920</v>
      </c>
      <c r="B78" s="30" t="s">
        <v>1217</v>
      </c>
      <c r="C78" s="30" t="s">
        <v>1141</v>
      </c>
      <c r="D78" s="30"/>
      <c r="E78" s="30"/>
      <c r="F78" s="30"/>
      <c r="G78" s="30"/>
      <c r="H78" s="30"/>
      <c r="I78" s="30"/>
      <c r="J78" s="30" t="str">
        <f t="shared" si="1"/>
        <v>pending</v>
      </c>
    </row>
    <row r="79" spans="1:10" ht="30" x14ac:dyDescent="0.25">
      <c r="A79" s="30" t="s">
        <v>921</v>
      </c>
      <c r="B79" s="30" t="s">
        <v>1218</v>
      </c>
      <c r="C79" s="30" t="s">
        <v>1141</v>
      </c>
      <c r="D79" s="30"/>
      <c r="E79" s="30"/>
      <c r="F79" s="30"/>
      <c r="G79" s="30"/>
      <c r="H79" s="30"/>
      <c r="I79" s="30"/>
      <c r="J79" s="30" t="str">
        <f t="shared" si="1"/>
        <v>pending</v>
      </c>
    </row>
    <row r="80" spans="1:10" ht="30" x14ac:dyDescent="0.25">
      <c r="A80" s="30" t="s">
        <v>922</v>
      </c>
      <c r="B80" s="30" t="s">
        <v>1219</v>
      </c>
      <c r="C80" s="30" t="s">
        <v>1141</v>
      </c>
      <c r="D80" s="30"/>
      <c r="E80" s="30"/>
      <c r="F80" s="30"/>
      <c r="G80" s="30"/>
      <c r="H80" s="30"/>
      <c r="I80" s="30"/>
      <c r="J80" s="30" t="str">
        <f t="shared" si="1"/>
        <v>pending</v>
      </c>
    </row>
    <row r="81" spans="1:10" ht="30" x14ac:dyDescent="0.25">
      <c r="A81" s="30" t="s">
        <v>923</v>
      </c>
      <c r="B81" s="30" t="s">
        <v>1220</v>
      </c>
      <c r="C81" s="30" t="s">
        <v>1141</v>
      </c>
      <c r="D81" s="30"/>
      <c r="E81" s="30"/>
      <c r="F81" s="30"/>
      <c r="G81" s="30"/>
      <c r="H81" s="30"/>
      <c r="I81" s="30"/>
      <c r="J81" s="30" t="str">
        <f t="shared" si="1"/>
        <v>pending</v>
      </c>
    </row>
    <row r="82" spans="1:10" ht="30" x14ac:dyDescent="0.25">
      <c r="A82" s="30" t="s">
        <v>924</v>
      </c>
      <c r="B82" s="30" t="s">
        <v>1221</v>
      </c>
      <c r="C82" s="30" t="s">
        <v>1141</v>
      </c>
      <c r="D82" s="30"/>
      <c r="E82" s="30"/>
      <c r="F82" s="30"/>
      <c r="G82" s="30"/>
      <c r="H82" s="30"/>
      <c r="I82" s="30"/>
      <c r="J82" s="30" t="str">
        <f t="shared" si="1"/>
        <v>pending</v>
      </c>
    </row>
    <row r="83" spans="1:10" ht="30" x14ac:dyDescent="0.25">
      <c r="A83" s="30" t="s">
        <v>925</v>
      </c>
      <c r="B83" s="30" t="s">
        <v>1222</v>
      </c>
      <c r="C83" s="30" t="s">
        <v>1141</v>
      </c>
      <c r="D83" s="30"/>
      <c r="E83" s="30"/>
      <c r="F83" s="30"/>
      <c r="G83" s="30"/>
      <c r="H83" s="30"/>
      <c r="I83" s="30"/>
      <c r="J83" s="30" t="str">
        <f t="shared" si="1"/>
        <v>pending</v>
      </c>
    </row>
    <row r="84" spans="1:10" x14ac:dyDescent="0.25">
      <c r="A84" s="30" t="s">
        <v>926</v>
      </c>
      <c r="B84" s="30" t="s">
        <v>1223</v>
      </c>
      <c r="C84" s="30" t="s">
        <v>1141</v>
      </c>
      <c r="D84" s="30"/>
      <c r="E84" s="30"/>
      <c r="F84" s="30"/>
      <c r="G84" s="30"/>
      <c r="H84" s="30"/>
      <c r="I84" s="30"/>
      <c r="J84" s="30" t="str">
        <f t="shared" si="1"/>
        <v>pending</v>
      </c>
    </row>
    <row r="85" spans="1:10" ht="30" x14ac:dyDescent="0.25">
      <c r="A85" s="30" t="s">
        <v>927</v>
      </c>
      <c r="B85" s="30" t="s">
        <v>1224</v>
      </c>
      <c r="C85" s="30" t="s">
        <v>1469</v>
      </c>
      <c r="D85" s="30">
        <v>26</v>
      </c>
      <c r="E85" s="30" t="s">
        <v>849</v>
      </c>
      <c r="F85" s="30" t="s">
        <v>1470</v>
      </c>
      <c r="G85" s="30" t="s">
        <v>69</v>
      </c>
      <c r="H85" s="30">
        <v>6</v>
      </c>
      <c r="I85" s="30" t="s">
        <v>1144</v>
      </c>
      <c r="J85" s="30" t="str">
        <f t="shared" si="1"/>
        <v>done</v>
      </c>
    </row>
    <row r="86" spans="1:10" ht="30" x14ac:dyDescent="0.25">
      <c r="A86" s="30" t="s">
        <v>928</v>
      </c>
      <c r="B86" s="30" t="s">
        <v>1225</v>
      </c>
      <c r="C86" s="30" t="s">
        <v>1141</v>
      </c>
      <c r="D86" s="30"/>
      <c r="E86" s="30"/>
      <c r="F86" s="30"/>
      <c r="G86" s="30"/>
      <c r="H86" s="30"/>
      <c r="I86" s="30"/>
      <c r="J86" s="30" t="str">
        <f t="shared" si="1"/>
        <v>pending</v>
      </c>
    </row>
    <row r="87" spans="1:10" ht="30" x14ac:dyDescent="0.25">
      <c r="A87" s="30" t="s">
        <v>929</v>
      </c>
      <c r="B87" s="30" t="s">
        <v>1226</v>
      </c>
      <c r="C87" s="30" t="s">
        <v>1141</v>
      </c>
      <c r="D87" s="30"/>
      <c r="E87" s="30"/>
      <c r="F87" s="30"/>
      <c r="G87" s="30"/>
      <c r="H87" s="30"/>
      <c r="I87" s="30"/>
      <c r="J87" s="30" t="str">
        <f t="shared" si="1"/>
        <v>pending</v>
      </c>
    </row>
    <row r="88" spans="1:10" x14ac:dyDescent="0.25">
      <c r="A88" s="30" t="s">
        <v>930</v>
      </c>
      <c r="B88" s="30" t="s">
        <v>1227</v>
      </c>
      <c r="C88" s="30" t="s">
        <v>1141</v>
      </c>
      <c r="D88" s="30"/>
      <c r="E88" s="30"/>
      <c r="F88" s="30"/>
      <c r="G88" s="30"/>
      <c r="H88" s="30"/>
      <c r="I88" s="30"/>
      <c r="J88" s="30" t="str">
        <f t="shared" si="1"/>
        <v>pending</v>
      </c>
    </row>
    <row r="89" spans="1:10" ht="30" x14ac:dyDescent="0.25">
      <c r="A89" s="30" t="s">
        <v>931</v>
      </c>
      <c r="B89" s="30" t="s">
        <v>1228</v>
      </c>
      <c r="C89" s="30" t="s">
        <v>1141</v>
      </c>
      <c r="D89" s="30"/>
      <c r="E89" s="30"/>
      <c r="F89" s="30"/>
      <c r="G89" s="30"/>
      <c r="H89" s="30"/>
      <c r="I89" s="30"/>
      <c r="J89" s="30" t="str">
        <f t="shared" si="1"/>
        <v>pending</v>
      </c>
    </row>
    <row r="90" spans="1:10" ht="30" x14ac:dyDescent="0.25">
      <c r="A90" s="30" t="s">
        <v>932</v>
      </c>
      <c r="B90" s="30" t="s">
        <v>1229</v>
      </c>
      <c r="C90" s="30" t="s">
        <v>1141</v>
      </c>
      <c r="D90" s="30"/>
      <c r="E90" s="30"/>
      <c r="F90" s="30"/>
      <c r="G90" s="30"/>
      <c r="H90" s="30"/>
      <c r="I90" s="30"/>
      <c r="J90" s="30" t="str">
        <f t="shared" si="1"/>
        <v>pending</v>
      </c>
    </row>
    <row r="91" spans="1:10" ht="30" x14ac:dyDescent="0.25">
      <c r="A91" s="30" t="s">
        <v>933</v>
      </c>
      <c r="B91" s="30" t="s">
        <v>1230</v>
      </c>
      <c r="C91" s="30" t="s">
        <v>1141</v>
      </c>
      <c r="D91" s="30"/>
      <c r="E91" s="30"/>
      <c r="F91" s="30"/>
      <c r="G91" s="30"/>
      <c r="H91" s="30"/>
      <c r="I91" s="30"/>
      <c r="J91" s="30" t="str">
        <f t="shared" si="1"/>
        <v>pending</v>
      </c>
    </row>
    <row r="92" spans="1:10" x14ac:dyDescent="0.25">
      <c r="A92" s="30" t="s">
        <v>934</v>
      </c>
      <c r="B92" s="30" t="s">
        <v>1231</v>
      </c>
      <c r="C92" s="30" t="s">
        <v>1141</v>
      </c>
      <c r="D92" s="30"/>
      <c r="E92" s="30"/>
      <c r="F92" s="30"/>
      <c r="G92" s="30"/>
      <c r="H92" s="30"/>
      <c r="I92" s="30"/>
      <c r="J92" s="30" t="str">
        <f t="shared" si="1"/>
        <v>pending</v>
      </c>
    </row>
    <row r="93" spans="1:10" x14ac:dyDescent="0.25">
      <c r="A93" s="30" t="s">
        <v>935</v>
      </c>
      <c r="B93" s="30" t="s">
        <v>1232</v>
      </c>
      <c r="C93" s="30" t="s">
        <v>1141</v>
      </c>
      <c r="D93" s="30"/>
      <c r="E93" s="30"/>
      <c r="F93" s="30"/>
      <c r="G93" s="30"/>
      <c r="H93" s="30"/>
      <c r="I93" s="30"/>
      <c r="J93" s="30" t="str">
        <f t="shared" si="1"/>
        <v>pending</v>
      </c>
    </row>
    <row r="94" spans="1:10" x14ac:dyDescent="0.25">
      <c r="A94" s="30" t="s">
        <v>936</v>
      </c>
      <c r="B94" s="30" t="s">
        <v>1233</v>
      </c>
      <c r="C94" s="30" t="s">
        <v>1141</v>
      </c>
      <c r="D94" s="30"/>
      <c r="E94" s="30"/>
      <c r="F94" s="30"/>
      <c r="G94" s="30"/>
      <c r="H94" s="30"/>
      <c r="I94" s="30"/>
      <c r="J94" s="30" t="str">
        <f t="shared" si="1"/>
        <v>pending</v>
      </c>
    </row>
    <row r="95" spans="1:10" ht="30" x14ac:dyDescent="0.25">
      <c r="A95" s="30" t="s">
        <v>937</v>
      </c>
      <c r="B95" s="30" t="s">
        <v>1234</v>
      </c>
      <c r="C95" s="30" t="s">
        <v>1141</v>
      </c>
      <c r="D95" s="30"/>
      <c r="E95" s="30"/>
      <c r="F95" s="30"/>
      <c r="G95" s="30"/>
      <c r="H95" s="30"/>
      <c r="I95" s="30"/>
      <c r="J95" s="30" t="str">
        <f t="shared" si="1"/>
        <v>pending</v>
      </c>
    </row>
    <row r="96" spans="1:10" ht="30" x14ac:dyDescent="0.25">
      <c r="A96" s="30" t="s">
        <v>938</v>
      </c>
      <c r="B96" s="30" t="s">
        <v>1235</v>
      </c>
      <c r="C96" s="30" t="s">
        <v>1141</v>
      </c>
      <c r="D96" s="30"/>
      <c r="E96" s="30"/>
      <c r="F96" s="30"/>
      <c r="G96" s="30"/>
      <c r="H96" s="30"/>
      <c r="I96" s="30"/>
      <c r="J96" s="30" t="str">
        <f t="shared" si="1"/>
        <v>pending</v>
      </c>
    </row>
    <row r="97" spans="1:10" ht="30" x14ac:dyDescent="0.25">
      <c r="A97" s="30" t="s">
        <v>939</v>
      </c>
      <c r="B97" s="30" t="s">
        <v>1236</v>
      </c>
      <c r="C97" s="30" t="s">
        <v>1141</v>
      </c>
      <c r="D97" s="30"/>
      <c r="E97" s="30"/>
      <c r="F97" s="30"/>
      <c r="G97" s="30"/>
      <c r="H97" s="30"/>
      <c r="I97" s="30"/>
      <c r="J97" s="30" t="str">
        <f t="shared" si="1"/>
        <v>pending</v>
      </c>
    </row>
    <row r="98" spans="1:10" ht="30" x14ac:dyDescent="0.25">
      <c r="A98" s="30" t="s">
        <v>940</v>
      </c>
      <c r="B98" s="30" t="s">
        <v>1237</v>
      </c>
      <c r="C98" s="30" t="s">
        <v>1141</v>
      </c>
      <c r="D98" s="30"/>
      <c r="E98" s="30"/>
      <c r="F98" s="30"/>
      <c r="G98" s="30"/>
      <c r="H98" s="30"/>
      <c r="I98" s="30"/>
      <c r="J98" s="30" t="str">
        <f t="shared" si="1"/>
        <v>pending</v>
      </c>
    </row>
    <row r="99" spans="1:10" x14ac:dyDescent="0.25">
      <c r="A99" s="30" t="s">
        <v>941</v>
      </c>
      <c r="B99" s="30" t="s">
        <v>1238</v>
      </c>
      <c r="C99" s="30" t="s">
        <v>1141</v>
      </c>
      <c r="D99" s="30"/>
      <c r="E99" s="30"/>
      <c r="F99" s="30"/>
      <c r="G99" s="30"/>
      <c r="H99" s="30"/>
      <c r="I99" s="30"/>
      <c r="J99" s="30" t="str">
        <f t="shared" si="1"/>
        <v>pending</v>
      </c>
    </row>
    <row r="100" spans="1:10" ht="30" x14ac:dyDescent="0.25">
      <c r="A100" s="30" t="s">
        <v>942</v>
      </c>
      <c r="B100" s="30" t="s">
        <v>1239</v>
      </c>
      <c r="C100" s="30" t="s">
        <v>1141</v>
      </c>
      <c r="D100" s="30"/>
      <c r="E100" s="30"/>
      <c r="F100" s="30"/>
      <c r="G100" s="30"/>
      <c r="H100" s="30"/>
      <c r="I100" s="30"/>
      <c r="J100" s="30" t="str">
        <f t="shared" si="1"/>
        <v>pending</v>
      </c>
    </row>
    <row r="101" spans="1:10" ht="30" x14ac:dyDescent="0.25">
      <c r="A101" s="30" t="s">
        <v>943</v>
      </c>
      <c r="B101" s="30" t="s">
        <v>1240</v>
      </c>
      <c r="C101" s="30" t="s">
        <v>1141</v>
      </c>
      <c r="D101" s="30"/>
      <c r="E101" s="30"/>
      <c r="F101" s="30"/>
      <c r="G101" s="30"/>
      <c r="H101" s="30"/>
      <c r="I101" s="30"/>
      <c r="J101" s="30" t="str">
        <f t="shared" si="1"/>
        <v>pending</v>
      </c>
    </row>
    <row r="102" spans="1:10" x14ac:dyDescent="0.25">
      <c r="A102" s="30" t="s">
        <v>944</v>
      </c>
      <c r="B102" s="30" t="s">
        <v>1241</v>
      </c>
      <c r="C102" s="30" t="s">
        <v>1141</v>
      </c>
      <c r="D102" s="30"/>
      <c r="E102" s="30"/>
      <c r="F102" s="30"/>
      <c r="G102" s="30"/>
      <c r="H102" s="30"/>
      <c r="I102" s="30"/>
      <c r="J102" s="30" t="str">
        <f t="shared" si="1"/>
        <v>pending</v>
      </c>
    </row>
    <row r="103" spans="1:10" x14ac:dyDescent="0.25">
      <c r="A103" s="30" t="s">
        <v>945</v>
      </c>
      <c r="B103" s="30" t="s">
        <v>1242</v>
      </c>
      <c r="C103" s="30" t="s">
        <v>1141</v>
      </c>
      <c r="D103" s="30"/>
      <c r="E103" s="30"/>
      <c r="F103" s="30"/>
      <c r="G103" s="30"/>
      <c r="H103" s="30"/>
      <c r="I103" s="30"/>
      <c r="J103" s="30" t="str">
        <f t="shared" si="1"/>
        <v>pending</v>
      </c>
    </row>
    <row r="104" spans="1:10" ht="30" x14ac:dyDescent="0.25">
      <c r="A104" s="30" t="s">
        <v>946</v>
      </c>
      <c r="B104" s="30" t="s">
        <v>1243</v>
      </c>
      <c r="C104" s="30" t="s">
        <v>1141</v>
      </c>
      <c r="D104" s="30"/>
      <c r="E104" s="30"/>
      <c r="F104" s="30"/>
      <c r="G104" s="30"/>
      <c r="H104" s="30"/>
      <c r="I104" s="30"/>
      <c r="J104" s="30" t="str">
        <f t="shared" si="1"/>
        <v>pending</v>
      </c>
    </row>
    <row r="105" spans="1:10" x14ac:dyDescent="0.25">
      <c r="A105" s="30" t="s">
        <v>947</v>
      </c>
      <c r="B105" s="30" t="s">
        <v>1244</v>
      </c>
      <c r="C105" s="30" t="s">
        <v>1141</v>
      </c>
      <c r="D105" s="30"/>
      <c r="E105" s="30"/>
      <c r="F105" s="30"/>
      <c r="G105" s="30"/>
      <c r="H105" s="30"/>
      <c r="I105" s="30"/>
      <c r="J105" s="30" t="str">
        <f t="shared" si="1"/>
        <v>pending</v>
      </c>
    </row>
    <row r="106" spans="1:10" ht="30" x14ac:dyDescent="0.25">
      <c r="A106" s="30" t="s">
        <v>948</v>
      </c>
      <c r="B106" s="30" t="s">
        <v>1245</v>
      </c>
      <c r="C106" s="30" t="s">
        <v>1141</v>
      </c>
      <c r="D106" s="30"/>
      <c r="E106" s="30"/>
      <c r="F106" s="30"/>
      <c r="G106" s="30"/>
      <c r="H106" s="30"/>
      <c r="I106" s="30"/>
      <c r="J106" s="30" t="str">
        <f t="shared" si="1"/>
        <v>pending</v>
      </c>
    </row>
    <row r="107" spans="1:10" ht="30" x14ac:dyDescent="0.25">
      <c r="A107" s="30" t="s">
        <v>949</v>
      </c>
      <c r="B107" s="30" t="s">
        <v>1246</v>
      </c>
      <c r="C107" s="30" t="s">
        <v>1141</v>
      </c>
      <c r="D107" s="30"/>
      <c r="E107" s="30"/>
      <c r="F107" s="30"/>
      <c r="G107" s="30"/>
      <c r="H107" s="30"/>
      <c r="I107" s="30"/>
      <c r="J107" s="30" t="str">
        <f t="shared" si="1"/>
        <v>pending</v>
      </c>
    </row>
    <row r="108" spans="1:10" x14ac:dyDescent="0.25">
      <c r="A108" s="30" t="s">
        <v>950</v>
      </c>
      <c r="B108" s="30" t="s">
        <v>1247</v>
      </c>
      <c r="C108" s="30" t="s">
        <v>1141</v>
      </c>
      <c r="D108" s="30"/>
      <c r="E108" s="30"/>
      <c r="F108" s="30"/>
      <c r="G108" s="30"/>
      <c r="H108" s="30"/>
      <c r="I108" s="30"/>
      <c r="J108" s="30" t="str">
        <f t="shared" si="1"/>
        <v>pending</v>
      </c>
    </row>
    <row r="109" spans="1:10" x14ac:dyDescent="0.25">
      <c r="A109" s="30" t="s">
        <v>951</v>
      </c>
      <c r="B109" s="30" t="s">
        <v>1248</v>
      </c>
      <c r="C109" s="30" t="s">
        <v>1141</v>
      </c>
      <c r="D109" s="30"/>
      <c r="E109" s="30"/>
      <c r="F109" s="30"/>
      <c r="G109" s="30"/>
      <c r="H109" s="30"/>
      <c r="I109" s="30"/>
      <c r="J109" s="30" t="str">
        <f t="shared" si="1"/>
        <v>pending</v>
      </c>
    </row>
    <row r="110" spans="1:10" ht="30" x14ac:dyDescent="0.25">
      <c r="A110" s="30" t="s">
        <v>952</v>
      </c>
      <c r="B110" s="30" t="s">
        <v>1249</v>
      </c>
      <c r="C110" s="30" t="s">
        <v>1141</v>
      </c>
      <c r="D110" s="30"/>
      <c r="E110" s="30"/>
      <c r="F110" s="30"/>
      <c r="G110" s="30"/>
      <c r="H110" s="30"/>
      <c r="I110" s="30"/>
      <c r="J110" s="30" t="str">
        <f t="shared" si="1"/>
        <v>pending</v>
      </c>
    </row>
    <row r="111" spans="1:10" x14ac:dyDescent="0.25">
      <c r="A111" s="30" t="s">
        <v>953</v>
      </c>
      <c r="B111" s="30" t="s">
        <v>1250</v>
      </c>
      <c r="C111" s="30" t="s">
        <v>1141</v>
      </c>
      <c r="D111" s="30"/>
      <c r="E111" s="30"/>
      <c r="F111" s="30"/>
      <c r="G111" s="30"/>
      <c r="H111" s="30"/>
      <c r="I111" s="30"/>
      <c r="J111" s="30" t="str">
        <f t="shared" si="1"/>
        <v>pending</v>
      </c>
    </row>
    <row r="112" spans="1:10" x14ac:dyDescent="0.25">
      <c r="A112" s="30" t="s">
        <v>954</v>
      </c>
      <c r="B112" s="30" t="s">
        <v>1251</v>
      </c>
      <c r="C112" s="30" t="s">
        <v>1141</v>
      </c>
      <c r="D112" s="30"/>
      <c r="E112" s="30"/>
      <c r="F112" s="30"/>
      <c r="G112" s="30"/>
      <c r="H112" s="30"/>
      <c r="I112" s="30"/>
      <c r="J112" s="30" t="str">
        <f t="shared" si="1"/>
        <v>pending</v>
      </c>
    </row>
    <row r="113" spans="1:10" ht="30" x14ac:dyDescent="0.25">
      <c r="A113" s="30" t="s">
        <v>955</v>
      </c>
      <c r="B113" s="30" t="s">
        <v>1252</v>
      </c>
      <c r="C113" s="30" t="s">
        <v>1141</v>
      </c>
      <c r="D113" s="30"/>
      <c r="E113" s="30"/>
      <c r="F113" s="30"/>
      <c r="G113" s="30"/>
      <c r="H113" s="30"/>
      <c r="I113" s="30"/>
      <c r="J113" s="30" t="str">
        <f t="shared" si="1"/>
        <v>pending</v>
      </c>
    </row>
    <row r="114" spans="1:10" x14ac:dyDescent="0.25">
      <c r="A114" s="30" t="s">
        <v>956</v>
      </c>
      <c r="B114" s="30" t="s">
        <v>1253</v>
      </c>
      <c r="C114" s="30" t="s">
        <v>1141</v>
      </c>
      <c r="D114" s="30"/>
      <c r="E114" s="30"/>
      <c r="F114" s="30"/>
      <c r="G114" s="30"/>
      <c r="H114" s="30"/>
      <c r="I114" s="30"/>
      <c r="J114" s="30" t="str">
        <f t="shared" si="1"/>
        <v>pending</v>
      </c>
    </row>
    <row r="115" spans="1:10" ht="30" x14ac:dyDescent="0.25">
      <c r="A115" s="30" t="s">
        <v>957</v>
      </c>
      <c r="B115" s="30" t="s">
        <v>1254</v>
      </c>
      <c r="C115" s="30" t="s">
        <v>1141</v>
      </c>
      <c r="D115" s="30"/>
      <c r="E115" s="30"/>
      <c r="F115" s="30"/>
      <c r="G115" s="30"/>
      <c r="H115" s="30"/>
      <c r="I115" s="30"/>
      <c r="J115" s="30" t="str">
        <f t="shared" si="1"/>
        <v>pending</v>
      </c>
    </row>
    <row r="116" spans="1:10" x14ac:dyDescent="0.25">
      <c r="A116" s="30" t="s">
        <v>958</v>
      </c>
      <c r="B116" s="30" t="s">
        <v>1255</v>
      </c>
      <c r="C116" s="30" t="s">
        <v>1141</v>
      </c>
      <c r="D116" s="30"/>
      <c r="E116" s="30"/>
      <c r="F116" s="30"/>
      <c r="G116" s="30"/>
      <c r="H116" s="30"/>
      <c r="I116" s="30"/>
      <c r="J116" s="30" t="str">
        <f t="shared" si="1"/>
        <v>pending</v>
      </c>
    </row>
    <row r="117" spans="1:10" ht="30" x14ac:dyDescent="0.25">
      <c r="A117" s="30" t="s">
        <v>959</v>
      </c>
      <c r="B117" s="30" t="s">
        <v>1256</v>
      </c>
      <c r="C117" s="30" t="s">
        <v>1141</v>
      </c>
      <c r="D117" s="30"/>
      <c r="E117" s="30"/>
      <c r="F117" s="30"/>
      <c r="G117" s="30"/>
      <c r="H117" s="30"/>
      <c r="I117" s="30"/>
      <c r="J117" s="30" t="str">
        <f t="shared" si="1"/>
        <v>pending</v>
      </c>
    </row>
    <row r="118" spans="1:10" x14ac:dyDescent="0.25">
      <c r="A118" s="30" t="s">
        <v>960</v>
      </c>
      <c r="B118" s="30" t="s">
        <v>1257</v>
      </c>
      <c r="C118" s="30" t="s">
        <v>1141</v>
      </c>
      <c r="D118" s="30"/>
      <c r="E118" s="30"/>
      <c r="F118" s="30"/>
      <c r="G118" s="30"/>
      <c r="H118" s="30"/>
      <c r="I118" s="30"/>
      <c r="J118" s="30" t="str">
        <f t="shared" si="1"/>
        <v>pending</v>
      </c>
    </row>
    <row r="119" spans="1:10" x14ac:dyDescent="0.25">
      <c r="A119" s="30" t="s">
        <v>961</v>
      </c>
      <c r="B119" s="30" t="s">
        <v>1258</v>
      </c>
      <c r="C119" s="30" t="s">
        <v>1141</v>
      </c>
      <c r="D119" s="30"/>
      <c r="E119" s="30"/>
      <c r="F119" s="30"/>
      <c r="G119" s="30"/>
      <c r="H119" s="30"/>
      <c r="I119" s="30"/>
      <c r="J119" s="30" t="str">
        <f t="shared" si="1"/>
        <v>pending</v>
      </c>
    </row>
    <row r="120" spans="1:10" ht="45" x14ac:dyDescent="0.25">
      <c r="A120" s="30" t="s">
        <v>962</v>
      </c>
      <c r="B120" s="30" t="s">
        <v>1259</v>
      </c>
      <c r="C120" s="30" t="s">
        <v>1141</v>
      </c>
      <c r="D120" s="30"/>
      <c r="E120" s="30"/>
      <c r="F120" s="30"/>
      <c r="G120" s="30"/>
      <c r="H120" s="30"/>
      <c r="I120" s="30"/>
      <c r="J120" s="30" t="str">
        <f t="shared" si="1"/>
        <v>pending</v>
      </c>
    </row>
    <row r="121" spans="1:10" x14ac:dyDescent="0.25">
      <c r="A121" s="30" t="s">
        <v>963</v>
      </c>
      <c r="B121" s="30" t="s">
        <v>1260</v>
      </c>
      <c r="C121" s="30" t="s">
        <v>1141</v>
      </c>
      <c r="D121" s="30"/>
      <c r="E121" s="30"/>
      <c r="F121" s="30"/>
      <c r="G121" s="30"/>
      <c r="H121" s="30"/>
      <c r="I121" s="30"/>
      <c r="J121" s="30" t="str">
        <f t="shared" si="1"/>
        <v>pending</v>
      </c>
    </row>
    <row r="122" spans="1:10" ht="30" x14ac:dyDescent="0.25">
      <c r="A122" s="30" t="s">
        <v>964</v>
      </c>
      <c r="B122" s="30" t="s">
        <v>1261</v>
      </c>
      <c r="C122" s="30" t="s">
        <v>1141</v>
      </c>
      <c r="D122" s="30"/>
      <c r="E122" s="30"/>
      <c r="F122" s="30"/>
      <c r="G122" s="30"/>
      <c r="H122" s="30"/>
      <c r="I122" s="30"/>
      <c r="J122" s="30" t="str">
        <f t="shared" si="1"/>
        <v>pending</v>
      </c>
    </row>
    <row r="123" spans="1:10" ht="30" x14ac:dyDescent="0.25">
      <c r="A123" s="30" t="s">
        <v>965</v>
      </c>
      <c r="B123" s="30" t="s">
        <v>1262</v>
      </c>
      <c r="C123" s="30" t="s">
        <v>1141</v>
      </c>
      <c r="D123" s="30"/>
      <c r="E123" s="30"/>
      <c r="F123" s="30"/>
      <c r="G123" s="30"/>
      <c r="H123" s="30"/>
      <c r="I123" s="30"/>
      <c r="J123" s="30" t="str">
        <f t="shared" si="1"/>
        <v>pending</v>
      </c>
    </row>
    <row r="124" spans="1:10" ht="30" x14ac:dyDescent="0.25">
      <c r="A124" s="30" t="s">
        <v>966</v>
      </c>
      <c r="B124" s="30" t="s">
        <v>1263</v>
      </c>
      <c r="C124" s="30" t="s">
        <v>1141</v>
      </c>
      <c r="D124" s="30"/>
      <c r="E124" s="30"/>
      <c r="F124" s="30"/>
      <c r="G124" s="30"/>
      <c r="H124" s="30"/>
      <c r="I124" s="30"/>
      <c r="J124" s="30" t="str">
        <f t="shared" si="1"/>
        <v>pending</v>
      </c>
    </row>
    <row r="125" spans="1:10" ht="30" x14ac:dyDescent="0.25">
      <c r="A125" s="30" t="s">
        <v>967</v>
      </c>
      <c r="B125" s="30" t="s">
        <v>1264</v>
      </c>
      <c r="C125" s="30" t="s">
        <v>1141</v>
      </c>
      <c r="D125" s="30"/>
      <c r="E125" s="30"/>
      <c r="F125" s="30"/>
      <c r="G125" s="30"/>
      <c r="H125" s="30"/>
      <c r="I125" s="30"/>
      <c r="J125" s="30" t="str">
        <f t="shared" si="1"/>
        <v>pending</v>
      </c>
    </row>
    <row r="126" spans="1:10" ht="30" x14ac:dyDescent="0.25">
      <c r="A126" s="30" t="s">
        <v>968</v>
      </c>
      <c r="B126" s="30" t="s">
        <v>1265</v>
      </c>
      <c r="C126" s="30" t="s">
        <v>1141</v>
      </c>
      <c r="D126" s="30"/>
      <c r="E126" s="30"/>
      <c r="F126" s="30"/>
      <c r="G126" s="30"/>
      <c r="H126" s="30"/>
      <c r="I126" s="30"/>
      <c r="J126" s="30" t="str">
        <f t="shared" si="1"/>
        <v>pending</v>
      </c>
    </row>
    <row r="127" spans="1:10" ht="30" x14ac:dyDescent="0.25">
      <c r="A127" s="30" t="s">
        <v>969</v>
      </c>
      <c r="B127" s="30" t="s">
        <v>1266</v>
      </c>
      <c r="C127" s="30" t="s">
        <v>1141</v>
      </c>
      <c r="D127" s="30"/>
      <c r="E127" s="30"/>
      <c r="F127" s="30"/>
      <c r="G127" s="30"/>
      <c r="H127" s="30"/>
      <c r="I127" s="30"/>
      <c r="J127" s="30" t="str">
        <f t="shared" si="1"/>
        <v>pending</v>
      </c>
    </row>
    <row r="128" spans="1:10" ht="30" x14ac:dyDescent="0.25">
      <c r="A128" s="30" t="s">
        <v>970</v>
      </c>
      <c r="B128" s="30" t="s">
        <v>1267</v>
      </c>
      <c r="C128" s="30" t="s">
        <v>1141</v>
      </c>
      <c r="D128" s="30"/>
      <c r="E128" s="30"/>
      <c r="F128" s="30"/>
      <c r="G128" s="30"/>
      <c r="H128" s="30"/>
      <c r="I128" s="30"/>
      <c r="J128" s="30" t="str">
        <f t="shared" si="1"/>
        <v>pending</v>
      </c>
    </row>
    <row r="129" spans="1:10" x14ac:dyDescent="0.25">
      <c r="A129" s="30" t="s">
        <v>971</v>
      </c>
      <c r="B129" s="30" t="s">
        <v>1268</v>
      </c>
      <c r="C129" s="30" t="s">
        <v>1141</v>
      </c>
      <c r="D129" s="30"/>
      <c r="E129" s="30"/>
      <c r="F129" s="30"/>
      <c r="G129" s="30"/>
      <c r="H129" s="30"/>
      <c r="I129" s="30"/>
      <c r="J129" s="30" t="str">
        <f t="shared" si="1"/>
        <v>pending</v>
      </c>
    </row>
    <row r="130" spans="1:10" x14ac:dyDescent="0.25">
      <c r="A130" s="30" t="s">
        <v>972</v>
      </c>
      <c r="B130" s="30" t="s">
        <v>1269</v>
      </c>
      <c r="C130" s="30" t="s">
        <v>1141</v>
      </c>
      <c r="D130" s="30"/>
      <c r="E130" s="30"/>
      <c r="F130" s="30"/>
      <c r="G130" s="30"/>
      <c r="H130" s="30"/>
      <c r="I130" s="30"/>
      <c r="J130" s="30" t="str">
        <f t="shared" si="1"/>
        <v>pending</v>
      </c>
    </row>
    <row r="131" spans="1:10" x14ac:dyDescent="0.25">
      <c r="A131" s="30" t="s">
        <v>973</v>
      </c>
      <c r="B131" s="30" t="s">
        <v>1270</v>
      </c>
      <c r="C131" s="30" t="s">
        <v>1141</v>
      </c>
      <c r="D131" s="30"/>
      <c r="E131" s="30"/>
      <c r="F131" s="30"/>
      <c r="G131" s="30"/>
      <c r="H131" s="30"/>
      <c r="I131" s="30"/>
      <c r="J131" s="30" t="str">
        <f t="shared" ref="J131:J194" si="2">IF(C131&lt;&gt;"-","done","pending")</f>
        <v>pending</v>
      </c>
    </row>
    <row r="132" spans="1:10" x14ac:dyDescent="0.25">
      <c r="A132" s="30" t="s">
        <v>974</v>
      </c>
      <c r="B132" s="30" t="s">
        <v>1271</v>
      </c>
      <c r="C132" s="30" t="s">
        <v>1141</v>
      </c>
      <c r="D132" s="30"/>
      <c r="E132" s="30"/>
      <c r="F132" s="30"/>
      <c r="G132" s="30"/>
      <c r="H132" s="30"/>
      <c r="I132" s="30"/>
      <c r="J132" s="30" t="str">
        <f t="shared" si="2"/>
        <v>pending</v>
      </c>
    </row>
    <row r="133" spans="1:10" ht="30" x14ac:dyDescent="0.25">
      <c r="A133" s="30" t="s">
        <v>975</v>
      </c>
      <c r="B133" s="30" t="s">
        <v>1272</v>
      </c>
      <c r="C133" s="30" t="s">
        <v>1141</v>
      </c>
      <c r="D133" s="30"/>
      <c r="E133" s="30"/>
      <c r="F133" s="30"/>
      <c r="G133" s="30"/>
      <c r="H133" s="30"/>
      <c r="I133" s="30"/>
      <c r="J133" s="30" t="str">
        <f t="shared" si="2"/>
        <v>pending</v>
      </c>
    </row>
    <row r="134" spans="1:10" x14ac:dyDescent="0.25">
      <c r="A134" s="30" t="s">
        <v>976</v>
      </c>
      <c r="B134" s="30" t="s">
        <v>1273</v>
      </c>
      <c r="C134" s="30" t="s">
        <v>1141</v>
      </c>
      <c r="D134" s="30"/>
      <c r="E134" s="30"/>
      <c r="F134" s="30"/>
      <c r="G134" s="30"/>
      <c r="H134" s="30"/>
      <c r="I134" s="30"/>
      <c r="J134" s="30" t="str">
        <f t="shared" si="2"/>
        <v>pending</v>
      </c>
    </row>
    <row r="135" spans="1:10" x14ac:dyDescent="0.25">
      <c r="A135" s="30" t="s">
        <v>977</v>
      </c>
      <c r="B135" s="30" t="s">
        <v>1274</v>
      </c>
      <c r="C135" s="30" t="s">
        <v>1141</v>
      </c>
      <c r="D135" s="30"/>
      <c r="E135" s="30"/>
      <c r="F135" s="30"/>
      <c r="G135" s="30"/>
      <c r="H135" s="30"/>
      <c r="I135" s="30"/>
      <c r="J135" s="30" t="str">
        <f t="shared" si="2"/>
        <v>pending</v>
      </c>
    </row>
    <row r="136" spans="1:10" x14ac:dyDescent="0.25">
      <c r="A136" s="30" t="s">
        <v>978</v>
      </c>
      <c r="B136" s="30" t="s">
        <v>1275</v>
      </c>
      <c r="C136" s="30" t="s">
        <v>1141</v>
      </c>
      <c r="D136" s="30"/>
      <c r="E136" s="30"/>
      <c r="F136" s="30"/>
      <c r="G136" s="30"/>
      <c r="H136" s="30"/>
      <c r="I136" s="30"/>
      <c r="J136" s="30" t="str">
        <f t="shared" si="2"/>
        <v>pending</v>
      </c>
    </row>
    <row r="137" spans="1:10" ht="30" x14ac:dyDescent="0.25">
      <c r="A137" s="30" t="s">
        <v>979</v>
      </c>
      <c r="B137" s="30" t="s">
        <v>1276</v>
      </c>
      <c r="C137" s="30" t="s">
        <v>1141</v>
      </c>
      <c r="D137" s="30"/>
      <c r="E137" s="30"/>
      <c r="F137" s="30"/>
      <c r="G137" s="30"/>
      <c r="H137" s="30"/>
      <c r="I137" s="30"/>
      <c r="J137" s="30" t="str">
        <f t="shared" si="2"/>
        <v>pending</v>
      </c>
    </row>
    <row r="138" spans="1:10" x14ac:dyDescent="0.25">
      <c r="A138" s="30" t="s">
        <v>980</v>
      </c>
      <c r="B138" s="30" t="s">
        <v>1277</v>
      </c>
      <c r="C138" s="30" t="s">
        <v>1141</v>
      </c>
      <c r="D138" s="30"/>
      <c r="E138" s="30"/>
      <c r="F138" s="30"/>
      <c r="G138" s="30"/>
      <c r="H138" s="30"/>
      <c r="I138" s="30"/>
      <c r="J138" s="30" t="str">
        <f t="shared" si="2"/>
        <v>pending</v>
      </c>
    </row>
    <row r="139" spans="1:10" x14ac:dyDescent="0.25">
      <c r="A139" s="30" t="s">
        <v>981</v>
      </c>
      <c r="B139" s="30" t="s">
        <v>1278</v>
      </c>
      <c r="C139" s="30" t="s">
        <v>1141</v>
      </c>
      <c r="D139" s="30"/>
      <c r="E139" s="30"/>
      <c r="F139" s="30"/>
      <c r="G139" s="30"/>
      <c r="H139" s="30"/>
      <c r="I139" s="30"/>
      <c r="J139" s="30" t="str">
        <f t="shared" si="2"/>
        <v>pending</v>
      </c>
    </row>
    <row r="140" spans="1:10" x14ac:dyDescent="0.25">
      <c r="A140" s="30" t="s">
        <v>982</v>
      </c>
      <c r="B140" s="30" t="s">
        <v>1279</v>
      </c>
      <c r="C140" s="30" t="s">
        <v>1141</v>
      </c>
      <c r="D140" s="30"/>
      <c r="E140" s="30"/>
      <c r="F140" s="30"/>
      <c r="G140" s="30"/>
      <c r="H140" s="30"/>
      <c r="I140" s="30"/>
      <c r="J140" s="30" t="str">
        <f t="shared" si="2"/>
        <v>pending</v>
      </c>
    </row>
    <row r="141" spans="1:10" x14ac:dyDescent="0.25">
      <c r="A141" s="30" t="s">
        <v>983</v>
      </c>
      <c r="B141" s="30" t="s">
        <v>1280</v>
      </c>
      <c r="C141" s="30" t="s">
        <v>1141</v>
      </c>
      <c r="D141" s="30"/>
      <c r="E141" s="30"/>
      <c r="F141" s="30"/>
      <c r="G141" s="30"/>
      <c r="H141" s="30"/>
      <c r="I141" s="30"/>
      <c r="J141" s="30" t="str">
        <f t="shared" si="2"/>
        <v>pending</v>
      </c>
    </row>
    <row r="142" spans="1:10" x14ac:dyDescent="0.25">
      <c r="A142" s="30" t="s">
        <v>984</v>
      </c>
      <c r="B142" s="30" t="s">
        <v>1281</v>
      </c>
      <c r="C142" s="30" t="s">
        <v>1141</v>
      </c>
      <c r="D142" s="30"/>
      <c r="E142" s="30"/>
      <c r="F142" s="30"/>
      <c r="G142" s="30"/>
      <c r="H142" s="30"/>
      <c r="I142" s="30"/>
      <c r="J142" s="30" t="str">
        <f t="shared" si="2"/>
        <v>pending</v>
      </c>
    </row>
    <row r="143" spans="1:10" ht="30" x14ac:dyDescent="0.25">
      <c r="A143" s="30" t="s">
        <v>985</v>
      </c>
      <c r="B143" s="30" t="s">
        <v>1282</v>
      </c>
      <c r="C143" s="30" t="s">
        <v>1141</v>
      </c>
      <c r="D143" s="30"/>
      <c r="E143" s="30"/>
      <c r="F143" s="30"/>
      <c r="G143" s="30"/>
      <c r="H143" s="30"/>
      <c r="I143" s="30"/>
      <c r="J143" s="30" t="str">
        <f t="shared" si="2"/>
        <v>pending</v>
      </c>
    </row>
    <row r="144" spans="1:10" ht="45" x14ac:dyDescent="0.25">
      <c r="A144" s="30" t="s">
        <v>986</v>
      </c>
      <c r="B144" s="30" t="s">
        <v>1283</v>
      </c>
      <c r="C144" s="30" t="s">
        <v>1141</v>
      </c>
      <c r="D144" s="30"/>
      <c r="E144" s="30"/>
      <c r="F144" s="30"/>
      <c r="G144" s="30"/>
      <c r="H144" s="30"/>
      <c r="I144" s="30"/>
      <c r="J144" s="30" t="str">
        <f t="shared" si="2"/>
        <v>pending</v>
      </c>
    </row>
    <row r="145" spans="1:10" ht="45" x14ac:dyDescent="0.25">
      <c r="A145" s="30" t="s">
        <v>987</v>
      </c>
      <c r="B145" s="30" t="s">
        <v>1284</v>
      </c>
      <c r="C145" s="30" t="s">
        <v>1141</v>
      </c>
      <c r="D145" s="30"/>
      <c r="E145" s="30"/>
      <c r="F145" s="30"/>
      <c r="G145" s="30"/>
      <c r="H145" s="30"/>
      <c r="I145" s="30"/>
      <c r="J145" s="30" t="str">
        <f t="shared" si="2"/>
        <v>pending</v>
      </c>
    </row>
    <row r="146" spans="1:10" ht="30" x14ac:dyDescent="0.25">
      <c r="A146" s="30" t="s">
        <v>988</v>
      </c>
      <c r="B146" s="30" t="s">
        <v>1285</v>
      </c>
      <c r="C146" s="30" t="s">
        <v>1141</v>
      </c>
      <c r="D146" s="30"/>
      <c r="E146" s="30"/>
      <c r="F146" s="30"/>
      <c r="G146" s="30"/>
      <c r="H146" s="30"/>
      <c r="I146" s="30"/>
      <c r="J146" s="30" t="str">
        <f t="shared" si="2"/>
        <v>pending</v>
      </c>
    </row>
    <row r="147" spans="1:10" x14ac:dyDescent="0.25">
      <c r="A147" s="30" t="s">
        <v>989</v>
      </c>
      <c r="B147" s="30" t="s">
        <v>1286</v>
      </c>
      <c r="C147" s="30" t="s">
        <v>1141</v>
      </c>
      <c r="D147" s="30"/>
      <c r="E147" s="30"/>
      <c r="F147" s="30"/>
      <c r="G147" s="30"/>
      <c r="H147" s="30"/>
      <c r="I147" s="30"/>
      <c r="J147" s="30" t="str">
        <f t="shared" si="2"/>
        <v>pending</v>
      </c>
    </row>
    <row r="148" spans="1:10" ht="30" x14ac:dyDescent="0.25">
      <c r="A148" s="30" t="s">
        <v>990</v>
      </c>
      <c r="B148" s="30" t="s">
        <v>1287</v>
      </c>
      <c r="C148" s="30" t="s">
        <v>1141</v>
      </c>
      <c r="D148" s="30"/>
      <c r="E148" s="30"/>
      <c r="F148" s="30"/>
      <c r="G148" s="30"/>
      <c r="H148" s="30"/>
      <c r="I148" s="30"/>
      <c r="J148" s="30" t="str">
        <f t="shared" si="2"/>
        <v>pending</v>
      </c>
    </row>
    <row r="149" spans="1:10" ht="30" x14ac:dyDescent="0.25">
      <c r="A149" s="30" t="s">
        <v>991</v>
      </c>
      <c r="B149" s="30" t="s">
        <v>1288</v>
      </c>
      <c r="C149" s="30" t="s">
        <v>1141</v>
      </c>
      <c r="D149" s="30"/>
      <c r="E149" s="30"/>
      <c r="F149" s="30"/>
      <c r="G149" s="30"/>
      <c r="H149" s="30"/>
      <c r="I149" s="30"/>
      <c r="J149" s="30" t="str">
        <f t="shared" si="2"/>
        <v>pending</v>
      </c>
    </row>
    <row r="150" spans="1:10" x14ac:dyDescent="0.25">
      <c r="A150" s="30" t="s">
        <v>992</v>
      </c>
      <c r="B150" s="30" t="s">
        <v>1289</v>
      </c>
      <c r="C150" s="30" t="s">
        <v>1141</v>
      </c>
      <c r="D150" s="30"/>
      <c r="E150" s="30"/>
      <c r="F150" s="30"/>
      <c r="G150" s="30"/>
      <c r="H150" s="30"/>
      <c r="I150" s="30"/>
      <c r="J150" s="30" t="str">
        <f t="shared" si="2"/>
        <v>pending</v>
      </c>
    </row>
    <row r="151" spans="1:10" ht="30" x14ac:dyDescent="0.25">
      <c r="A151" s="30" t="s">
        <v>993</v>
      </c>
      <c r="B151" s="30" t="s">
        <v>1290</v>
      </c>
      <c r="C151" s="30" t="s">
        <v>1141</v>
      </c>
      <c r="D151" s="30"/>
      <c r="E151" s="30"/>
      <c r="F151" s="30"/>
      <c r="G151" s="30"/>
      <c r="H151" s="30"/>
      <c r="I151" s="30"/>
      <c r="J151" s="30" t="str">
        <f t="shared" si="2"/>
        <v>pending</v>
      </c>
    </row>
    <row r="152" spans="1:10" ht="45" x14ac:dyDescent="0.25">
      <c r="A152" s="30" t="s">
        <v>994</v>
      </c>
      <c r="B152" s="30" t="s">
        <v>1291</v>
      </c>
      <c r="C152" s="30" t="s">
        <v>1141</v>
      </c>
      <c r="D152" s="30"/>
      <c r="E152" s="30"/>
      <c r="F152" s="30"/>
      <c r="G152" s="30"/>
      <c r="H152" s="30"/>
      <c r="I152" s="30"/>
      <c r="J152" s="30" t="str">
        <f t="shared" si="2"/>
        <v>pending</v>
      </c>
    </row>
    <row r="153" spans="1:10" x14ac:dyDescent="0.25">
      <c r="A153" s="30" t="s">
        <v>995</v>
      </c>
      <c r="B153" s="30" t="s">
        <v>1292</v>
      </c>
      <c r="C153" s="30" t="s">
        <v>1141</v>
      </c>
      <c r="D153" s="30"/>
      <c r="E153" s="30"/>
      <c r="F153" s="30"/>
      <c r="G153" s="30"/>
      <c r="H153" s="30"/>
      <c r="I153" s="30"/>
      <c r="J153" s="30" t="str">
        <f t="shared" si="2"/>
        <v>pending</v>
      </c>
    </row>
    <row r="154" spans="1:10" x14ac:dyDescent="0.25">
      <c r="A154" s="30" t="s">
        <v>996</v>
      </c>
      <c r="B154" s="30" t="s">
        <v>1293</v>
      </c>
      <c r="C154" s="30" t="s">
        <v>1141</v>
      </c>
      <c r="D154" s="30"/>
      <c r="E154" s="30"/>
      <c r="F154" s="30"/>
      <c r="G154" s="30"/>
      <c r="H154" s="30"/>
      <c r="I154" s="30"/>
      <c r="J154" s="30" t="str">
        <f t="shared" si="2"/>
        <v>pending</v>
      </c>
    </row>
    <row r="155" spans="1:10" ht="30" x14ac:dyDescent="0.25">
      <c r="A155" s="30" t="s">
        <v>997</v>
      </c>
      <c r="B155" s="30" t="s">
        <v>1294</v>
      </c>
      <c r="C155" s="30" t="s">
        <v>1141</v>
      </c>
      <c r="D155" s="30"/>
      <c r="E155" s="30"/>
      <c r="F155" s="30"/>
      <c r="G155" s="30"/>
      <c r="H155" s="30"/>
      <c r="I155" s="30"/>
      <c r="J155" s="30" t="str">
        <f t="shared" si="2"/>
        <v>pending</v>
      </c>
    </row>
    <row r="156" spans="1:10" x14ac:dyDescent="0.25">
      <c r="A156" s="30" t="s">
        <v>998</v>
      </c>
      <c r="B156" s="30" t="s">
        <v>1295</v>
      </c>
      <c r="C156" s="30" t="s">
        <v>1141</v>
      </c>
      <c r="D156" s="30"/>
      <c r="E156" s="30"/>
      <c r="F156" s="30"/>
      <c r="G156" s="30"/>
      <c r="H156" s="30"/>
      <c r="I156" s="30"/>
      <c r="J156" s="30" t="str">
        <f t="shared" si="2"/>
        <v>pending</v>
      </c>
    </row>
    <row r="157" spans="1:10" ht="30" x14ac:dyDescent="0.25">
      <c r="A157" s="30" t="s">
        <v>999</v>
      </c>
      <c r="B157" s="30" t="s">
        <v>1296</v>
      </c>
      <c r="C157" s="30" t="s">
        <v>1141</v>
      </c>
      <c r="D157" s="30"/>
      <c r="E157" s="30"/>
      <c r="F157" s="30"/>
      <c r="G157" s="30"/>
      <c r="H157" s="30"/>
      <c r="I157" s="30"/>
      <c r="J157" s="30" t="str">
        <f t="shared" si="2"/>
        <v>pending</v>
      </c>
    </row>
    <row r="158" spans="1:10" x14ac:dyDescent="0.25">
      <c r="A158" s="30" t="s">
        <v>1000</v>
      </c>
      <c r="B158" s="30" t="s">
        <v>1297</v>
      </c>
      <c r="C158" s="30" t="s">
        <v>1141</v>
      </c>
      <c r="D158" s="30"/>
      <c r="E158" s="30"/>
      <c r="F158" s="30"/>
      <c r="G158" s="30"/>
      <c r="H158" s="30"/>
      <c r="I158" s="30"/>
      <c r="J158" s="30" t="str">
        <f t="shared" si="2"/>
        <v>pending</v>
      </c>
    </row>
    <row r="159" spans="1:10" x14ac:dyDescent="0.25">
      <c r="A159" s="30" t="s">
        <v>1001</v>
      </c>
      <c r="B159" s="30" t="s">
        <v>1298</v>
      </c>
      <c r="C159" s="30" t="s">
        <v>1141</v>
      </c>
      <c r="D159" s="30"/>
      <c r="E159" s="30"/>
      <c r="F159" s="30"/>
      <c r="G159" s="30"/>
      <c r="H159" s="30"/>
      <c r="I159" s="30"/>
      <c r="J159" s="30" t="str">
        <f t="shared" si="2"/>
        <v>pending</v>
      </c>
    </row>
    <row r="160" spans="1:10" x14ac:dyDescent="0.25">
      <c r="A160" s="30" t="s">
        <v>1002</v>
      </c>
      <c r="B160" s="30" t="s">
        <v>1299</v>
      </c>
      <c r="C160" s="30" t="s">
        <v>1141</v>
      </c>
      <c r="D160" s="30"/>
      <c r="E160" s="30"/>
      <c r="F160" s="30"/>
      <c r="G160" s="30"/>
      <c r="H160" s="30"/>
      <c r="I160" s="30"/>
      <c r="J160" s="30" t="str">
        <f t="shared" si="2"/>
        <v>pending</v>
      </c>
    </row>
    <row r="161" spans="1:10" x14ac:dyDescent="0.25">
      <c r="A161" s="30" t="s">
        <v>1003</v>
      </c>
      <c r="B161" s="30" t="s">
        <v>1300</v>
      </c>
      <c r="C161" s="30" t="s">
        <v>1141</v>
      </c>
      <c r="D161" s="30"/>
      <c r="E161" s="30"/>
      <c r="F161" s="30"/>
      <c r="G161" s="30"/>
      <c r="H161" s="30"/>
      <c r="I161" s="30"/>
      <c r="J161" s="30" t="str">
        <f t="shared" si="2"/>
        <v>pending</v>
      </c>
    </row>
    <row r="162" spans="1:10" ht="30" x14ac:dyDescent="0.25">
      <c r="A162" s="30" t="s">
        <v>1004</v>
      </c>
      <c r="B162" s="30" t="s">
        <v>1301</v>
      </c>
      <c r="C162" s="30" t="s">
        <v>1141</v>
      </c>
      <c r="D162" s="30"/>
      <c r="E162" s="30"/>
      <c r="F162" s="30"/>
      <c r="G162" s="30"/>
      <c r="H162" s="30"/>
      <c r="I162" s="30"/>
      <c r="J162" s="30" t="str">
        <f t="shared" si="2"/>
        <v>pending</v>
      </c>
    </row>
    <row r="163" spans="1:10" ht="30" x14ac:dyDescent="0.25">
      <c r="A163" s="30" t="s">
        <v>1005</v>
      </c>
      <c r="B163" s="30" t="s">
        <v>1302</v>
      </c>
      <c r="C163" s="30" t="s">
        <v>1141</v>
      </c>
      <c r="D163" s="30"/>
      <c r="E163" s="30"/>
      <c r="F163" s="30"/>
      <c r="G163" s="30"/>
      <c r="H163" s="30"/>
      <c r="I163" s="30"/>
      <c r="J163" s="30" t="str">
        <f t="shared" si="2"/>
        <v>pending</v>
      </c>
    </row>
    <row r="164" spans="1:10" x14ac:dyDescent="0.25">
      <c r="A164" s="30" t="s">
        <v>1006</v>
      </c>
      <c r="B164" s="30" t="s">
        <v>1303</v>
      </c>
      <c r="C164" s="30" t="s">
        <v>1141</v>
      </c>
      <c r="D164" s="30"/>
      <c r="E164" s="30"/>
      <c r="F164" s="30"/>
      <c r="G164" s="30"/>
      <c r="H164" s="30"/>
      <c r="I164" s="30"/>
      <c r="J164" s="30" t="str">
        <f t="shared" si="2"/>
        <v>pending</v>
      </c>
    </row>
    <row r="165" spans="1:10" ht="30" x14ac:dyDescent="0.25">
      <c r="A165" s="30" t="s">
        <v>1007</v>
      </c>
      <c r="B165" s="30" t="s">
        <v>1304</v>
      </c>
      <c r="C165" s="30" t="s">
        <v>1141</v>
      </c>
      <c r="D165" s="30"/>
      <c r="E165" s="30"/>
      <c r="F165" s="30"/>
      <c r="G165" s="30"/>
      <c r="H165" s="30"/>
      <c r="I165" s="30"/>
      <c r="J165" s="30" t="str">
        <f t="shared" si="2"/>
        <v>pending</v>
      </c>
    </row>
    <row r="166" spans="1:10" x14ac:dyDescent="0.25">
      <c r="A166" s="30" t="s">
        <v>1008</v>
      </c>
      <c r="B166" s="30" t="s">
        <v>1305</v>
      </c>
      <c r="C166" s="30" t="s">
        <v>1141</v>
      </c>
      <c r="D166" s="30"/>
      <c r="E166" s="30"/>
      <c r="F166" s="30"/>
      <c r="G166" s="30"/>
      <c r="H166" s="30"/>
      <c r="I166" s="30"/>
      <c r="J166" s="30" t="str">
        <f t="shared" si="2"/>
        <v>pending</v>
      </c>
    </row>
    <row r="167" spans="1:10" ht="30" x14ac:dyDescent="0.25">
      <c r="A167" s="30" t="s">
        <v>1009</v>
      </c>
      <c r="B167" s="30" t="s">
        <v>1306</v>
      </c>
      <c r="C167" s="30" t="s">
        <v>1141</v>
      </c>
      <c r="D167" s="30"/>
      <c r="E167" s="30"/>
      <c r="F167" s="30"/>
      <c r="G167" s="30"/>
      <c r="H167" s="30"/>
      <c r="I167" s="30"/>
      <c r="J167" s="30" t="str">
        <f t="shared" si="2"/>
        <v>pending</v>
      </c>
    </row>
    <row r="168" spans="1:10" x14ac:dyDescent="0.25">
      <c r="A168" s="30" t="s">
        <v>1010</v>
      </c>
      <c r="B168" s="30" t="s">
        <v>1307</v>
      </c>
      <c r="C168" s="30" t="s">
        <v>1141</v>
      </c>
      <c r="D168" s="30"/>
      <c r="E168" s="30"/>
      <c r="F168" s="30"/>
      <c r="G168" s="30"/>
      <c r="H168" s="30"/>
      <c r="I168" s="30"/>
      <c r="J168" s="30" t="str">
        <f t="shared" si="2"/>
        <v>pending</v>
      </c>
    </row>
    <row r="169" spans="1:10" ht="30" x14ac:dyDescent="0.25">
      <c r="A169" s="30" t="s">
        <v>1011</v>
      </c>
      <c r="B169" s="30" t="s">
        <v>1308</v>
      </c>
      <c r="C169" s="30" t="s">
        <v>1141</v>
      </c>
      <c r="D169" s="30"/>
      <c r="E169" s="30"/>
      <c r="F169" s="30"/>
      <c r="G169" s="30"/>
      <c r="H169" s="30"/>
      <c r="I169" s="30"/>
      <c r="J169" s="30" t="str">
        <f t="shared" si="2"/>
        <v>pending</v>
      </c>
    </row>
    <row r="170" spans="1:10" ht="30" x14ac:dyDescent="0.25">
      <c r="A170" s="30" t="s">
        <v>1012</v>
      </c>
      <c r="B170" s="30" t="s">
        <v>1309</v>
      </c>
      <c r="C170" s="30" t="s">
        <v>1141</v>
      </c>
      <c r="D170" s="30"/>
      <c r="E170" s="30"/>
      <c r="F170" s="30"/>
      <c r="G170" s="30"/>
      <c r="H170" s="30"/>
      <c r="I170" s="30"/>
      <c r="J170" s="30" t="str">
        <f t="shared" si="2"/>
        <v>pending</v>
      </c>
    </row>
    <row r="171" spans="1:10" ht="30" x14ac:dyDescent="0.25">
      <c r="A171" s="30" t="s">
        <v>1013</v>
      </c>
      <c r="B171" s="30" t="s">
        <v>1310</v>
      </c>
      <c r="C171" s="30" t="s">
        <v>1141</v>
      </c>
      <c r="D171" s="30"/>
      <c r="E171" s="30"/>
      <c r="F171" s="30"/>
      <c r="G171" s="30"/>
      <c r="H171" s="30"/>
      <c r="I171" s="30"/>
      <c r="J171" s="30" t="str">
        <f t="shared" si="2"/>
        <v>pending</v>
      </c>
    </row>
    <row r="172" spans="1:10" ht="30" x14ac:dyDescent="0.25">
      <c r="A172" s="30" t="s">
        <v>1014</v>
      </c>
      <c r="B172" s="30" t="s">
        <v>1311</v>
      </c>
      <c r="C172" s="30" t="s">
        <v>1141</v>
      </c>
      <c r="D172" s="30"/>
      <c r="E172" s="30"/>
      <c r="F172" s="30"/>
      <c r="G172" s="30"/>
      <c r="H172" s="30"/>
      <c r="I172" s="30"/>
      <c r="J172" s="30" t="str">
        <f t="shared" si="2"/>
        <v>pending</v>
      </c>
    </row>
    <row r="173" spans="1:10" ht="45" x14ac:dyDescent="0.25">
      <c r="A173" s="30" t="s">
        <v>1015</v>
      </c>
      <c r="B173" s="30" t="s">
        <v>1312</v>
      </c>
      <c r="C173" s="30" t="s">
        <v>1141</v>
      </c>
      <c r="D173" s="30"/>
      <c r="E173" s="30"/>
      <c r="F173" s="30"/>
      <c r="G173" s="30"/>
      <c r="H173" s="30"/>
      <c r="I173" s="30"/>
      <c r="J173" s="30" t="str">
        <f t="shared" si="2"/>
        <v>pending</v>
      </c>
    </row>
    <row r="174" spans="1:10" ht="30" x14ac:dyDescent="0.25">
      <c r="A174" s="30" t="s">
        <v>1016</v>
      </c>
      <c r="B174" s="30" t="s">
        <v>1313</v>
      </c>
      <c r="C174" s="30" t="s">
        <v>1141</v>
      </c>
      <c r="D174" s="30"/>
      <c r="E174" s="30"/>
      <c r="F174" s="30"/>
      <c r="G174" s="30"/>
      <c r="H174" s="30"/>
      <c r="I174" s="30"/>
      <c r="J174" s="30" t="str">
        <f t="shared" si="2"/>
        <v>pending</v>
      </c>
    </row>
    <row r="175" spans="1:10" x14ac:dyDescent="0.25">
      <c r="A175" s="30" t="s">
        <v>1017</v>
      </c>
      <c r="B175" s="30" t="s">
        <v>1314</v>
      </c>
      <c r="C175" s="30" t="s">
        <v>1141</v>
      </c>
      <c r="D175" s="30"/>
      <c r="E175" s="30"/>
      <c r="F175" s="30"/>
      <c r="G175" s="30"/>
      <c r="H175" s="30"/>
      <c r="I175" s="30"/>
      <c r="J175" s="30" t="str">
        <f t="shared" si="2"/>
        <v>pending</v>
      </c>
    </row>
    <row r="176" spans="1:10" x14ac:dyDescent="0.25">
      <c r="A176" s="30" t="s">
        <v>1018</v>
      </c>
      <c r="B176" s="30" t="s">
        <v>1315</v>
      </c>
      <c r="C176" s="30" t="s">
        <v>1141</v>
      </c>
      <c r="D176" s="30"/>
      <c r="E176" s="30"/>
      <c r="F176" s="30"/>
      <c r="G176" s="30"/>
      <c r="H176" s="30"/>
      <c r="I176" s="30"/>
      <c r="J176" s="30" t="str">
        <f t="shared" si="2"/>
        <v>pending</v>
      </c>
    </row>
    <row r="177" spans="1:10" ht="45" x14ac:dyDescent="0.25">
      <c r="A177" s="30" t="s">
        <v>1019</v>
      </c>
      <c r="B177" s="30" t="s">
        <v>1316</v>
      </c>
      <c r="C177" s="30" t="s">
        <v>1141</v>
      </c>
      <c r="D177" s="30"/>
      <c r="E177" s="30"/>
      <c r="F177" s="30"/>
      <c r="G177" s="30"/>
      <c r="H177" s="30"/>
      <c r="I177" s="30"/>
      <c r="J177" s="30" t="str">
        <f t="shared" si="2"/>
        <v>pending</v>
      </c>
    </row>
    <row r="178" spans="1:10" x14ac:dyDescent="0.25">
      <c r="A178" s="30" t="s">
        <v>1020</v>
      </c>
      <c r="B178" s="30" t="s">
        <v>1317</v>
      </c>
      <c r="C178" s="30" t="s">
        <v>1141</v>
      </c>
      <c r="D178" s="30"/>
      <c r="E178" s="30"/>
      <c r="F178" s="30"/>
      <c r="G178" s="30"/>
      <c r="H178" s="30"/>
      <c r="I178" s="30"/>
      <c r="J178" s="30" t="str">
        <f t="shared" si="2"/>
        <v>pending</v>
      </c>
    </row>
    <row r="179" spans="1:10" ht="30" x14ac:dyDescent="0.25">
      <c r="A179" s="30" t="s">
        <v>1021</v>
      </c>
      <c r="B179" s="30" t="s">
        <v>1318</v>
      </c>
      <c r="C179" s="30" t="s">
        <v>1141</v>
      </c>
      <c r="D179" s="30"/>
      <c r="E179" s="30"/>
      <c r="F179" s="30"/>
      <c r="G179" s="30"/>
      <c r="H179" s="30"/>
      <c r="I179" s="30"/>
      <c r="J179" s="30" t="str">
        <f t="shared" si="2"/>
        <v>pending</v>
      </c>
    </row>
    <row r="180" spans="1:10" x14ac:dyDescent="0.25">
      <c r="A180" s="30" t="s">
        <v>1022</v>
      </c>
      <c r="B180" s="30" t="s">
        <v>1319</v>
      </c>
      <c r="C180" s="30" t="s">
        <v>1141</v>
      </c>
      <c r="D180" s="30"/>
      <c r="E180" s="30"/>
      <c r="F180" s="30"/>
      <c r="G180" s="30"/>
      <c r="H180" s="30"/>
      <c r="I180" s="30"/>
      <c r="J180" s="30" t="str">
        <f t="shared" si="2"/>
        <v>pending</v>
      </c>
    </row>
    <row r="181" spans="1:10" ht="30" x14ac:dyDescent="0.25">
      <c r="A181" s="30" t="s">
        <v>1023</v>
      </c>
      <c r="B181" s="30" t="s">
        <v>1320</v>
      </c>
      <c r="C181" s="30" t="s">
        <v>1141</v>
      </c>
      <c r="D181" s="30"/>
      <c r="E181" s="30"/>
      <c r="F181" s="30"/>
      <c r="G181" s="30"/>
      <c r="H181" s="30"/>
      <c r="I181" s="30"/>
      <c r="J181" s="30" t="str">
        <f t="shared" si="2"/>
        <v>pending</v>
      </c>
    </row>
    <row r="182" spans="1:10" x14ac:dyDescent="0.25">
      <c r="A182" s="30" t="s">
        <v>1024</v>
      </c>
      <c r="B182" s="30" t="s">
        <v>1321</v>
      </c>
      <c r="C182" s="30" t="s">
        <v>1141</v>
      </c>
      <c r="D182" s="30"/>
      <c r="E182" s="30"/>
      <c r="F182" s="30"/>
      <c r="G182" s="30"/>
      <c r="H182" s="30"/>
      <c r="I182" s="30"/>
      <c r="J182" s="30" t="str">
        <f t="shared" si="2"/>
        <v>pending</v>
      </c>
    </row>
    <row r="183" spans="1:10" ht="45" x14ac:dyDescent="0.25">
      <c r="A183" s="30" t="s">
        <v>1025</v>
      </c>
      <c r="B183" s="30" t="s">
        <v>1322</v>
      </c>
      <c r="C183" s="30" t="s">
        <v>1141</v>
      </c>
      <c r="D183" s="30"/>
      <c r="E183" s="30"/>
      <c r="F183" s="30"/>
      <c r="G183" s="30"/>
      <c r="H183" s="30"/>
      <c r="I183" s="30"/>
      <c r="J183" s="30" t="str">
        <f t="shared" si="2"/>
        <v>pending</v>
      </c>
    </row>
    <row r="184" spans="1:10" ht="30" x14ac:dyDescent="0.25">
      <c r="A184" s="30" t="s">
        <v>1026</v>
      </c>
      <c r="B184" s="30" t="s">
        <v>1323</v>
      </c>
      <c r="C184" s="30" t="s">
        <v>1141</v>
      </c>
      <c r="D184" s="30"/>
      <c r="E184" s="30"/>
      <c r="F184" s="30"/>
      <c r="G184" s="30"/>
      <c r="H184" s="30"/>
      <c r="I184" s="30"/>
      <c r="J184" s="30" t="str">
        <f t="shared" si="2"/>
        <v>pending</v>
      </c>
    </row>
    <row r="185" spans="1:10" ht="45" x14ac:dyDescent="0.25">
      <c r="A185" s="30" t="s">
        <v>1027</v>
      </c>
      <c r="B185" s="30" t="s">
        <v>1324</v>
      </c>
      <c r="C185" s="30" t="s">
        <v>1141</v>
      </c>
      <c r="D185" s="30"/>
      <c r="E185" s="30"/>
      <c r="F185" s="30"/>
      <c r="G185" s="30"/>
      <c r="H185" s="30"/>
      <c r="I185" s="30"/>
      <c r="J185" s="30" t="str">
        <f t="shared" si="2"/>
        <v>pending</v>
      </c>
    </row>
    <row r="186" spans="1:10" x14ac:dyDescent="0.25">
      <c r="A186" s="30" t="s">
        <v>1028</v>
      </c>
      <c r="B186" s="30" t="s">
        <v>1325</v>
      </c>
      <c r="C186" s="30" t="s">
        <v>1141</v>
      </c>
      <c r="D186" s="30"/>
      <c r="E186" s="30"/>
      <c r="F186" s="30"/>
      <c r="G186" s="30"/>
      <c r="H186" s="30"/>
      <c r="I186" s="30"/>
      <c r="J186" s="30" t="str">
        <f t="shared" si="2"/>
        <v>pending</v>
      </c>
    </row>
    <row r="187" spans="1:10" x14ac:dyDescent="0.25">
      <c r="A187" s="30" t="s">
        <v>1029</v>
      </c>
      <c r="B187" s="30" t="s">
        <v>1326</v>
      </c>
      <c r="C187" s="30" t="s">
        <v>1141</v>
      </c>
      <c r="D187" s="30"/>
      <c r="E187" s="30"/>
      <c r="F187" s="30"/>
      <c r="G187" s="30"/>
      <c r="H187" s="30"/>
      <c r="I187" s="30"/>
      <c r="J187" s="30" t="str">
        <f t="shared" si="2"/>
        <v>pending</v>
      </c>
    </row>
    <row r="188" spans="1:10" x14ac:dyDescent="0.25">
      <c r="A188" s="30" t="s">
        <v>1030</v>
      </c>
      <c r="B188" s="30" t="s">
        <v>1327</v>
      </c>
      <c r="C188" s="30" t="s">
        <v>1141</v>
      </c>
      <c r="D188" s="30"/>
      <c r="E188" s="30"/>
      <c r="F188" s="30"/>
      <c r="G188" s="30"/>
      <c r="H188" s="30"/>
      <c r="I188" s="30"/>
      <c r="J188" s="30" t="str">
        <f t="shared" si="2"/>
        <v>pending</v>
      </c>
    </row>
    <row r="189" spans="1:10" ht="30" x14ac:dyDescent="0.25">
      <c r="A189" s="30" t="s">
        <v>1031</v>
      </c>
      <c r="B189" s="30" t="s">
        <v>1328</v>
      </c>
      <c r="C189" s="30" t="s">
        <v>1141</v>
      </c>
      <c r="D189" s="30"/>
      <c r="E189" s="30"/>
      <c r="F189" s="30"/>
      <c r="G189" s="30"/>
      <c r="H189" s="30"/>
      <c r="I189" s="30"/>
      <c r="J189" s="30" t="str">
        <f t="shared" si="2"/>
        <v>pending</v>
      </c>
    </row>
    <row r="190" spans="1:10" ht="30" x14ac:dyDescent="0.25">
      <c r="A190" s="30" t="s">
        <v>1032</v>
      </c>
      <c r="B190" s="30" t="s">
        <v>1329</v>
      </c>
      <c r="C190" s="30" t="s">
        <v>1141</v>
      </c>
      <c r="D190" s="30"/>
      <c r="E190" s="30"/>
      <c r="F190" s="30"/>
      <c r="G190" s="30"/>
      <c r="H190" s="30"/>
      <c r="I190" s="30"/>
      <c r="J190" s="30" t="str">
        <f t="shared" si="2"/>
        <v>pending</v>
      </c>
    </row>
    <row r="191" spans="1:10" ht="30" x14ac:dyDescent="0.25">
      <c r="A191" s="30" t="s">
        <v>1033</v>
      </c>
      <c r="B191" s="30" t="s">
        <v>1330</v>
      </c>
      <c r="C191" s="30" t="s">
        <v>1141</v>
      </c>
      <c r="D191" s="30"/>
      <c r="E191" s="30"/>
      <c r="F191" s="30"/>
      <c r="G191" s="30"/>
      <c r="H191" s="30"/>
      <c r="I191" s="30"/>
      <c r="J191" s="30" t="str">
        <f t="shared" si="2"/>
        <v>pending</v>
      </c>
    </row>
    <row r="192" spans="1:10" x14ac:dyDescent="0.25">
      <c r="A192" s="30" t="s">
        <v>1034</v>
      </c>
      <c r="B192" s="30" t="s">
        <v>1331</v>
      </c>
      <c r="C192" s="30" t="s">
        <v>1141</v>
      </c>
      <c r="D192" s="30"/>
      <c r="E192" s="30"/>
      <c r="F192" s="30"/>
      <c r="G192" s="30"/>
      <c r="H192" s="30"/>
      <c r="I192" s="30"/>
      <c r="J192" s="30" t="str">
        <f t="shared" si="2"/>
        <v>pending</v>
      </c>
    </row>
    <row r="193" spans="1:10" x14ac:dyDescent="0.25">
      <c r="A193" s="30" t="s">
        <v>1035</v>
      </c>
      <c r="B193" s="30" t="s">
        <v>1332</v>
      </c>
      <c r="C193" s="30" t="s">
        <v>1141</v>
      </c>
      <c r="D193" s="30"/>
      <c r="E193" s="30"/>
      <c r="F193" s="30"/>
      <c r="G193" s="30"/>
      <c r="H193" s="30"/>
      <c r="I193" s="30"/>
      <c r="J193" s="30" t="str">
        <f t="shared" si="2"/>
        <v>pending</v>
      </c>
    </row>
    <row r="194" spans="1:10" x14ac:dyDescent="0.25">
      <c r="A194" s="30" t="s">
        <v>1036</v>
      </c>
      <c r="B194" s="30" t="s">
        <v>1333</v>
      </c>
      <c r="C194" s="30" t="s">
        <v>1141</v>
      </c>
      <c r="D194" s="30"/>
      <c r="E194" s="30"/>
      <c r="F194" s="30"/>
      <c r="G194" s="30"/>
      <c r="H194" s="30"/>
      <c r="I194" s="30"/>
      <c r="J194" s="30" t="str">
        <f t="shared" si="2"/>
        <v>pending</v>
      </c>
    </row>
    <row r="195" spans="1:10" ht="30" x14ac:dyDescent="0.25">
      <c r="A195" s="30" t="s">
        <v>1037</v>
      </c>
      <c r="B195" s="30" t="s">
        <v>1334</v>
      </c>
      <c r="C195" s="30" t="s">
        <v>1141</v>
      </c>
      <c r="D195" s="30"/>
      <c r="E195" s="30"/>
      <c r="F195" s="30"/>
      <c r="G195" s="30"/>
      <c r="H195" s="30"/>
      <c r="I195" s="30"/>
      <c r="J195" s="30" t="str">
        <f t="shared" ref="J195:J258" si="3">IF(C195&lt;&gt;"-","done","pending")</f>
        <v>pending</v>
      </c>
    </row>
    <row r="196" spans="1:10" ht="30" x14ac:dyDescent="0.25">
      <c r="A196" s="30" t="s">
        <v>1038</v>
      </c>
      <c r="B196" s="30" t="s">
        <v>1335</v>
      </c>
      <c r="C196" s="30" t="s">
        <v>1141</v>
      </c>
      <c r="D196" s="30"/>
      <c r="E196" s="30"/>
      <c r="F196" s="30"/>
      <c r="G196" s="30"/>
      <c r="H196" s="30"/>
      <c r="I196" s="30"/>
      <c r="J196" s="30" t="str">
        <f t="shared" si="3"/>
        <v>pending</v>
      </c>
    </row>
    <row r="197" spans="1:10" x14ac:dyDescent="0.25">
      <c r="A197" s="30" t="s">
        <v>1039</v>
      </c>
      <c r="B197" s="30" t="s">
        <v>1336</v>
      </c>
      <c r="C197" s="30" t="s">
        <v>1141</v>
      </c>
      <c r="D197" s="30"/>
      <c r="E197" s="30"/>
      <c r="F197" s="30"/>
      <c r="G197" s="30"/>
      <c r="H197" s="30"/>
      <c r="I197" s="30"/>
      <c r="J197" s="30" t="str">
        <f t="shared" si="3"/>
        <v>pending</v>
      </c>
    </row>
    <row r="198" spans="1:10" ht="30" x14ac:dyDescent="0.25">
      <c r="A198" s="30" t="s">
        <v>1040</v>
      </c>
      <c r="B198" s="30" t="s">
        <v>1337</v>
      </c>
      <c r="C198" s="30" t="s">
        <v>1141</v>
      </c>
      <c r="D198" s="30"/>
      <c r="E198" s="30"/>
      <c r="F198" s="30"/>
      <c r="G198" s="30"/>
      <c r="H198" s="30"/>
      <c r="I198" s="30"/>
      <c r="J198" s="30" t="str">
        <f t="shared" si="3"/>
        <v>pending</v>
      </c>
    </row>
    <row r="199" spans="1:10" ht="30" x14ac:dyDescent="0.25">
      <c r="A199" s="30" t="s">
        <v>1041</v>
      </c>
      <c r="B199" s="30" t="s">
        <v>1338</v>
      </c>
      <c r="C199" s="30" t="s">
        <v>1141</v>
      </c>
      <c r="D199" s="30"/>
      <c r="E199" s="30"/>
      <c r="F199" s="30"/>
      <c r="G199" s="30"/>
      <c r="H199" s="30"/>
      <c r="I199" s="30"/>
      <c r="J199" s="30" t="str">
        <f t="shared" si="3"/>
        <v>pending</v>
      </c>
    </row>
    <row r="200" spans="1:10" ht="30" x14ac:dyDescent="0.25">
      <c r="A200" s="30" t="s">
        <v>1042</v>
      </c>
      <c r="B200" s="30" t="s">
        <v>1339</v>
      </c>
      <c r="C200" s="30" t="s">
        <v>1141</v>
      </c>
      <c r="D200" s="30"/>
      <c r="E200" s="30"/>
      <c r="F200" s="30"/>
      <c r="G200" s="30"/>
      <c r="H200" s="30"/>
      <c r="I200" s="30"/>
      <c r="J200" s="30" t="str">
        <f t="shared" si="3"/>
        <v>pending</v>
      </c>
    </row>
    <row r="201" spans="1:10" ht="30" x14ac:dyDescent="0.25">
      <c r="A201" s="30" t="s">
        <v>1043</v>
      </c>
      <c r="B201" s="30" t="s">
        <v>1340</v>
      </c>
      <c r="C201" s="30" t="s">
        <v>1141</v>
      </c>
      <c r="D201" s="30"/>
      <c r="E201" s="30"/>
      <c r="F201" s="30"/>
      <c r="G201" s="30"/>
      <c r="H201" s="30"/>
      <c r="I201" s="30"/>
      <c r="J201" s="30" t="str">
        <f t="shared" si="3"/>
        <v>pending</v>
      </c>
    </row>
    <row r="202" spans="1:10" x14ac:dyDescent="0.25">
      <c r="A202" s="30" t="s">
        <v>1044</v>
      </c>
      <c r="B202" s="30" t="s">
        <v>1341</v>
      </c>
      <c r="C202" s="30" t="s">
        <v>1141</v>
      </c>
      <c r="D202" s="30"/>
      <c r="E202" s="30"/>
      <c r="F202" s="30"/>
      <c r="G202" s="30"/>
      <c r="H202" s="30"/>
      <c r="I202" s="30"/>
      <c r="J202" s="30" t="str">
        <f t="shared" si="3"/>
        <v>pending</v>
      </c>
    </row>
    <row r="203" spans="1:10" ht="30" x14ac:dyDescent="0.25">
      <c r="A203" s="30" t="s">
        <v>1045</v>
      </c>
      <c r="B203" s="30" t="s">
        <v>1342</v>
      </c>
      <c r="C203" s="30" t="s">
        <v>1141</v>
      </c>
      <c r="D203" s="30"/>
      <c r="E203" s="30"/>
      <c r="F203" s="30"/>
      <c r="G203" s="30"/>
      <c r="H203" s="30"/>
      <c r="I203" s="30"/>
      <c r="J203" s="30" t="str">
        <f t="shared" si="3"/>
        <v>pending</v>
      </c>
    </row>
    <row r="204" spans="1:10" x14ac:dyDescent="0.25">
      <c r="A204" s="30" t="s">
        <v>1046</v>
      </c>
      <c r="B204" s="30" t="s">
        <v>1343</v>
      </c>
      <c r="C204" s="30" t="s">
        <v>1141</v>
      </c>
      <c r="D204" s="30"/>
      <c r="E204" s="30"/>
      <c r="F204" s="30"/>
      <c r="G204" s="30"/>
      <c r="H204" s="30"/>
      <c r="I204" s="30"/>
      <c r="J204" s="30" t="str">
        <f t="shared" si="3"/>
        <v>pending</v>
      </c>
    </row>
    <row r="205" spans="1:10" x14ac:dyDescent="0.25">
      <c r="A205" s="30" t="s">
        <v>1047</v>
      </c>
      <c r="B205" s="30" t="s">
        <v>1344</v>
      </c>
      <c r="C205" s="30" t="s">
        <v>1141</v>
      </c>
      <c r="D205" s="30"/>
      <c r="E205" s="30"/>
      <c r="F205" s="30"/>
      <c r="G205" s="30"/>
      <c r="H205" s="30"/>
      <c r="I205" s="30"/>
      <c r="J205" s="30" t="str">
        <f t="shared" si="3"/>
        <v>pending</v>
      </c>
    </row>
    <row r="206" spans="1:10" ht="30" x14ac:dyDescent="0.25">
      <c r="A206" s="30" t="s">
        <v>1048</v>
      </c>
      <c r="B206" s="30" t="s">
        <v>1345</v>
      </c>
      <c r="C206" s="30" t="s">
        <v>1141</v>
      </c>
      <c r="D206" s="30"/>
      <c r="E206" s="30"/>
      <c r="F206" s="30"/>
      <c r="G206" s="30"/>
      <c r="H206" s="30"/>
      <c r="I206" s="30"/>
      <c r="J206" s="30" t="str">
        <f t="shared" si="3"/>
        <v>pending</v>
      </c>
    </row>
    <row r="207" spans="1:10" x14ac:dyDescent="0.25">
      <c r="A207" s="30" t="s">
        <v>1049</v>
      </c>
      <c r="B207" s="30" t="s">
        <v>1346</v>
      </c>
      <c r="C207" s="30" t="s">
        <v>1141</v>
      </c>
      <c r="D207" s="30"/>
      <c r="E207" s="30"/>
      <c r="F207" s="30"/>
      <c r="G207" s="30"/>
      <c r="H207" s="30"/>
      <c r="I207" s="30"/>
      <c r="J207" s="30" t="str">
        <f t="shared" si="3"/>
        <v>pending</v>
      </c>
    </row>
    <row r="208" spans="1:10" ht="45" x14ac:dyDescent="0.25">
      <c r="A208" s="30" t="s">
        <v>1050</v>
      </c>
      <c r="B208" s="30" t="s">
        <v>1347</v>
      </c>
      <c r="C208" s="30" t="s">
        <v>1141</v>
      </c>
      <c r="D208" s="30"/>
      <c r="E208" s="30"/>
      <c r="F208" s="30"/>
      <c r="G208" s="30"/>
      <c r="H208" s="30"/>
      <c r="I208" s="30"/>
      <c r="J208" s="30" t="str">
        <f t="shared" si="3"/>
        <v>pending</v>
      </c>
    </row>
    <row r="209" spans="1:10" ht="30" x14ac:dyDescent="0.25">
      <c r="A209" s="30" t="s">
        <v>1051</v>
      </c>
      <c r="B209" s="30" t="s">
        <v>1348</v>
      </c>
      <c r="C209" s="30" t="s">
        <v>1141</v>
      </c>
      <c r="D209" s="30"/>
      <c r="E209" s="30"/>
      <c r="F209" s="30"/>
      <c r="G209" s="30"/>
      <c r="H209" s="30"/>
      <c r="I209" s="30"/>
      <c r="J209" s="30" t="str">
        <f t="shared" si="3"/>
        <v>pending</v>
      </c>
    </row>
    <row r="210" spans="1:10" x14ac:dyDescent="0.25">
      <c r="A210" s="30" t="s">
        <v>1052</v>
      </c>
      <c r="B210" s="30" t="s">
        <v>1349</v>
      </c>
      <c r="C210" s="30" t="s">
        <v>1141</v>
      </c>
      <c r="D210" s="30"/>
      <c r="E210" s="30"/>
      <c r="F210" s="30"/>
      <c r="G210" s="30"/>
      <c r="H210" s="30"/>
      <c r="I210" s="30"/>
      <c r="J210" s="30" t="str">
        <f t="shared" si="3"/>
        <v>pending</v>
      </c>
    </row>
    <row r="211" spans="1:10" ht="45" x14ac:dyDescent="0.25">
      <c r="A211" s="30" t="s">
        <v>1053</v>
      </c>
      <c r="B211" s="30" t="s">
        <v>1350</v>
      </c>
      <c r="C211" s="30" t="s">
        <v>1141</v>
      </c>
      <c r="D211" s="30"/>
      <c r="E211" s="30"/>
      <c r="F211" s="30"/>
      <c r="G211" s="30"/>
      <c r="H211" s="30"/>
      <c r="I211" s="30"/>
      <c r="J211" s="30" t="str">
        <f t="shared" si="3"/>
        <v>pending</v>
      </c>
    </row>
    <row r="212" spans="1:10" x14ac:dyDescent="0.25">
      <c r="A212" s="30" t="s">
        <v>1054</v>
      </c>
      <c r="B212" s="30" t="s">
        <v>1351</v>
      </c>
      <c r="C212" s="30" t="s">
        <v>1141</v>
      </c>
      <c r="D212" s="30"/>
      <c r="E212" s="30"/>
      <c r="F212" s="30"/>
      <c r="G212" s="30"/>
      <c r="H212" s="30"/>
      <c r="I212" s="30"/>
      <c r="J212" s="30" t="str">
        <f t="shared" si="3"/>
        <v>pending</v>
      </c>
    </row>
    <row r="213" spans="1:10" x14ac:dyDescent="0.25">
      <c r="A213" s="30" t="s">
        <v>1055</v>
      </c>
      <c r="B213" s="30" t="s">
        <v>1352</v>
      </c>
      <c r="C213" s="30" t="s">
        <v>1141</v>
      </c>
      <c r="D213" s="30"/>
      <c r="E213" s="30"/>
      <c r="F213" s="30"/>
      <c r="G213" s="30"/>
      <c r="H213" s="30"/>
      <c r="I213" s="30"/>
      <c r="J213" s="30" t="str">
        <f t="shared" si="3"/>
        <v>pending</v>
      </c>
    </row>
    <row r="214" spans="1:10" x14ac:dyDescent="0.25">
      <c r="A214" s="30" t="s">
        <v>1056</v>
      </c>
      <c r="B214" s="30" t="s">
        <v>1353</v>
      </c>
      <c r="C214" s="30" t="s">
        <v>1141</v>
      </c>
      <c r="D214" s="30"/>
      <c r="E214" s="30"/>
      <c r="F214" s="30"/>
      <c r="G214" s="30"/>
      <c r="H214" s="30"/>
      <c r="I214" s="30"/>
      <c r="J214" s="30" t="str">
        <f t="shared" si="3"/>
        <v>pending</v>
      </c>
    </row>
    <row r="215" spans="1:10" ht="30" x14ac:dyDescent="0.25">
      <c r="A215" s="30" t="s">
        <v>1057</v>
      </c>
      <c r="B215" s="30" t="s">
        <v>1354</v>
      </c>
      <c r="C215" s="30" t="s">
        <v>1141</v>
      </c>
      <c r="D215" s="30"/>
      <c r="E215" s="30"/>
      <c r="F215" s="30"/>
      <c r="G215" s="30"/>
      <c r="H215" s="30"/>
      <c r="I215" s="30"/>
      <c r="J215" s="30" t="str">
        <f t="shared" si="3"/>
        <v>pending</v>
      </c>
    </row>
    <row r="216" spans="1:10" ht="30" x14ac:dyDescent="0.25">
      <c r="A216" s="30" t="s">
        <v>1058</v>
      </c>
      <c r="B216" s="30" t="s">
        <v>1355</v>
      </c>
      <c r="C216" s="30" t="s">
        <v>1141</v>
      </c>
      <c r="D216" s="30"/>
      <c r="E216" s="30"/>
      <c r="F216" s="30"/>
      <c r="G216" s="30"/>
      <c r="H216" s="30"/>
      <c r="I216" s="30"/>
      <c r="J216" s="30" t="str">
        <f t="shared" si="3"/>
        <v>pending</v>
      </c>
    </row>
    <row r="217" spans="1:10" x14ac:dyDescent="0.25">
      <c r="A217" s="30" t="s">
        <v>1059</v>
      </c>
      <c r="B217" s="30" t="s">
        <v>1356</v>
      </c>
      <c r="C217" s="30" t="s">
        <v>1141</v>
      </c>
      <c r="D217" s="30"/>
      <c r="E217" s="30"/>
      <c r="F217" s="30"/>
      <c r="G217" s="30"/>
      <c r="H217" s="30"/>
      <c r="I217" s="30"/>
      <c r="J217" s="30" t="str">
        <f t="shared" si="3"/>
        <v>pending</v>
      </c>
    </row>
    <row r="218" spans="1:10" ht="30" x14ac:dyDescent="0.25">
      <c r="A218" s="30" t="s">
        <v>1060</v>
      </c>
      <c r="B218" s="30" t="s">
        <v>1357</v>
      </c>
      <c r="C218" s="30" t="s">
        <v>1141</v>
      </c>
      <c r="D218" s="30"/>
      <c r="E218" s="30"/>
      <c r="F218" s="30"/>
      <c r="G218" s="30"/>
      <c r="H218" s="30"/>
      <c r="I218" s="30"/>
      <c r="J218" s="30" t="str">
        <f t="shared" si="3"/>
        <v>pending</v>
      </c>
    </row>
    <row r="219" spans="1:10" x14ac:dyDescent="0.25">
      <c r="A219" s="30" t="s">
        <v>1061</v>
      </c>
      <c r="B219" s="30" t="s">
        <v>1358</v>
      </c>
      <c r="C219" s="30" t="s">
        <v>1141</v>
      </c>
      <c r="D219" s="30"/>
      <c r="E219" s="30"/>
      <c r="F219" s="30"/>
      <c r="G219" s="30"/>
      <c r="H219" s="30"/>
      <c r="I219" s="30"/>
      <c r="J219" s="30" t="str">
        <f t="shared" si="3"/>
        <v>pending</v>
      </c>
    </row>
    <row r="220" spans="1:10" ht="30" x14ac:dyDescent="0.25">
      <c r="A220" s="30" t="s">
        <v>1062</v>
      </c>
      <c r="B220" s="30" t="s">
        <v>1359</v>
      </c>
      <c r="C220" s="30" t="s">
        <v>1141</v>
      </c>
      <c r="D220" s="30"/>
      <c r="E220" s="30"/>
      <c r="F220" s="30"/>
      <c r="G220" s="30"/>
      <c r="H220" s="30"/>
      <c r="I220" s="30"/>
      <c r="J220" s="30" t="str">
        <f t="shared" si="3"/>
        <v>pending</v>
      </c>
    </row>
    <row r="221" spans="1:10" x14ac:dyDescent="0.25">
      <c r="A221" s="30" t="s">
        <v>1063</v>
      </c>
      <c r="B221" s="30" t="s">
        <v>1360</v>
      </c>
      <c r="C221" s="30" t="s">
        <v>1141</v>
      </c>
      <c r="D221" s="30"/>
      <c r="E221" s="30"/>
      <c r="F221" s="30"/>
      <c r="G221" s="30"/>
      <c r="H221" s="30"/>
      <c r="I221" s="30"/>
      <c r="J221" s="30" t="str">
        <f t="shared" si="3"/>
        <v>pending</v>
      </c>
    </row>
    <row r="222" spans="1:10" ht="30" x14ac:dyDescent="0.25">
      <c r="A222" s="30" t="s">
        <v>1064</v>
      </c>
      <c r="B222" s="30" t="s">
        <v>1361</v>
      </c>
      <c r="C222" s="30" t="s">
        <v>1141</v>
      </c>
      <c r="D222" s="30"/>
      <c r="E222" s="30"/>
      <c r="F222" s="30"/>
      <c r="G222" s="30"/>
      <c r="H222" s="30"/>
      <c r="I222" s="30"/>
      <c r="J222" s="30" t="str">
        <f t="shared" si="3"/>
        <v>pending</v>
      </c>
    </row>
    <row r="223" spans="1:10" ht="30" x14ac:dyDescent="0.25">
      <c r="A223" s="30" t="s">
        <v>1065</v>
      </c>
      <c r="B223" s="30" t="s">
        <v>1362</v>
      </c>
      <c r="C223" s="30" t="s">
        <v>1141</v>
      </c>
      <c r="D223" s="30"/>
      <c r="E223" s="30"/>
      <c r="F223" s="30"/>
      <c r="G223" s="30"/>
      <c r="H223" s="30"/>
      <c r="I223" s="30"/>
      <c r="J223" s="30" t="str">
        <f t="shared" si="3"/>
        <v>pending</v>
      </c>
    </row>
    <row r="224" spans="1:10" ht="30" x14ac:dyDescent="0.25">
      <c r="A224" s="30" t="s">
        <v>1066</v>
      </c>
      <c r="B224" s="30" t="s">
        <v>1363</v>
      </c>
      <c r="C224" s="30" t="s">
        <v>1141</v>
      </c>
      <c r="D224" s="30"/>
      <c r="E224" s="30"/>
      <c r="F224" s="30"/>
      <c r="G224" s="30"/>
      <c r="H224" s="30"/>
      <c r="I224" s="30"/>
      <c r="J224" s="30" t="str">
        <f t="shared" si="3"/>
        <v>pending</v>
      </c>
    </row>
    <row r="225" spans="1:10" x14ac:dyDescent="0.25">
      <c r="A225" s="30" t="s">
        <v>1067</v>
      </c>
      <c r="B225" s="30" t="s">
        <v>1364</v>
      </c>
      <c r="C225" s="30" t="s">
        <v>1141</v>
      </c>
      <c r="D225" s="30"/>
      <c r="E225" s="30"/>
      <c r="F225" s="30"/>
      <c r="G225" s="30"/>
      <c r="H225" s="30"/>
      <c r="I225" s="30"/>
      <c r="J225" s="30" t="str">
        <f t="shared" si="3"/>
        <v>pending</v>
      </c>
    </row>
    <row r="226" spans="1:10" x14ac:dyDescent="0.25">
      <c r="A226" s="30" t="s">
        <v>1068</v>
      </c>
      <c r="B226" s="30" t="s">
        <v>1365</v>
      </c>
      <c r="C226" s="30" t="s">
        <v>1141</v>
      </c>
      <c r="D226" s="30"/>
      <c r="E226" s="30"/>
      <c r="F226" s="30"/>
      <c r="G226" s="30"/>
      <c r="H226" s="30"/>
      <c r="I226" s="30"/>
      <c r="J226" s="30" t="str">
        <f t="shared" si="3"/>
        <v>pending</v>
      </c>
    </row>
    <row r="227" spans="1:10" x14ac:dyDescent="0.25">
      <c r="A227" s="30" t="s">
        <v>1069</v>
      </c>
      <c r="B227" s="30" t="s">
        <v>1366</v>
      </c>
      <c r="C227" s="30" t="s">
        <v>1141</v>
      </c>
      <c r="D227" s="30"/>
      <c r="E227" s="30"/>
      <c r="F227" s="30"/>
      <c r="G227" s="30"/>
      <c r="H227" s="30"/>
      <c r="I227" s="30"/>
      <c r="J227" s="30" t="str">
        <f t="shared" si="3"/>
        <v>pending</v>
      </c>
    </row>
    <row r="228" spans="1:10" ht="30" x14ac:dyDescent="0.25">
      <c r="A228" s="30" t="s">
        <v>1070</v>
      </c>
      <c r="B228" s="30" t="s">
        <v>1367</v>
      </c>
      <c r="C228" s="30" t="s">
        <v>1141</v>
      </c>
      <c r="D228" s="30"/>
      <c r="E228" s="30"/>
      <c r="F228" s="30"/>
      <c r="G228" s="30"/>
      <c r="H228" s="30"/>
      <c r="I228" s="30"/>
      <c r="J228" s="30" t="str">
        <f t="shared" si="3"/>
        <v>pending</v>
      </c>
    </row>
    <row r="229" spans="1:10" ht="30" x14ac:dyDescent="0.25">
      <c r="A229" s="30" t="s">
        <v>1071</v>
      </c>
      <c r="B229" s="30" t="s">
        <v>1368</v>
      </c>
      <c r="C229" s="30" t="s">
        <v>1141</v>
      </c>
      <c r="D229" s="30"/>
      <c r="E229" s="30"/>
      <c r="F229" s="30"/>
      <c r="G229" s="30"/>
      <c r="H229" s="30"/>
      <c r="I229" s="30"/>
      <c r="J229" s="30" t="str">
        <f t="shared" si="3"/>
        <v>pending</v>
      </c>
    </row>
    <row r="230" spans="1:10" ht="30" x14ac:dyDescent="0.25">
      <c r="A230" s="30" t="s">
        <v>1072</v>
      </c>
      <c r="B230" s="30" t="s">
        <v>1369</v>
      </c>
      <c r="C230" s="30" t="s">
        <v>1141</v>
      </c>
      <c r="D230" s="30"/>
      <c r="E230" s="30"/>
      <c r="F230" s="30"/>
      <c r="G230" s="30"/>
      <c r="H230" s="30"/>
      <c r="I230" s="30"/>
      <c r="J230" s="30" t="str">
        <f t="shared" si="3"/>
        <v>pending</v>
      </c>
    </row>
    <row r="231" spans="1:10" ht="45" x14ac:dyDescent="0.25">
      <c r="A231" s="30" t="s">
        <v>1073</v>
      </c>
      <c r="B231" s="30" t="s">
        <v>1370</v>
      </c>
      <c r="C231" s="30" t="s">
        <v>1141</v>
      </c>
      <c r="D231" s="30"/>
      <c r="E231" s="30"/>
      <c r="F231" s="30"/>
      <c r="G231" s="30"/>
      <c r="H231" s="30"/>
      <c r="I231" s="30"/>
      <c r="J231" s="30" t="str">
        <f t="shared" si="3"/>
        <v>pending</v>
      </c>
    </row>
    <row r="232" spans="1:10" ht="45" x14ac:dyDescent="0.25">
      <c r="A232" s="30" t="s">
        <v>1074</v>
      </c>
      <c r="B232" s="30" t="s">
        <v>1371</v>
      </c>
      <c r="C232" s="30" t="s">
        <v>1141</v>
      </c>
      <c r="D232" s="30"/>
      <c r="E232" s="30"/>
      <c r="F232" s="30"/>
      <c r="G232" s="30"/>
      <c r="H232" s="30"/>
      <c r="I232" s="30"/>
      <c r="J232" s="30" t="str">
        <f t="shared" si="3"/>
        <v>pending</v>
      </c>
    </row>
    <row r="233" spans="1:10" ht="30" x14ac:dyDescent="0.25">
      <c r="A233" s="30" t="s">
        <v>1075</v>
      </c>
      <c r="B233" s="30" t="s">
        <v>1372</v>
      </c>
      <c r="C233" s="30" t="s">
        <v>1141</v>
      </c>
      <c r="D233" s="30"/>
      <c r="E233" s="30"/>
      <c r="F233" s="30"/>
      <c r="G233" s="30"/>
      <c r="H233" s="30"/>
      <c r="I233" s="30"/>
      <c r="J233" s="30" t="str">
        <f t="shared" si="3"/>
        <v>pending</v>
      </c>
    </row>
    <row r="234" spans="1:10" x14ac:dyDescent="0.25">
      <c r="A234" s="30" t="s">
        <v>1076</v>
      </c>
      <c r="B234" s="30" t="s">
        <v>1373</v>
      </c>
      <c r="C234" s="30" t="s">
        <v>1141</v>
      </c>
      <c r="D234" s="30"/>
      <c r="E234" s="30"/>
      <c r="F234" s="30"/>
      <c r="G234" s="30"/>
      <c r="H234" s="30"/>
      <c r="I234" s="30"/>
      <c r="J234" s="30" t="str">
        <f t="shared" si="3"/>
        <v>pending</v>
      </c>
    </row>
    <row r="235" spans="1:10" ht="30" x14ac:dyDescent="0.25">
      <c r="A235" s="30" t="s">
        <v>1077</v>
      </c>
      <c r="B235" s="30" t="s">
        <v>1374</v>
      </c>
      <c r="C235" s="30" t="s">
        <v>1141</v>
      </c>
      <c r="D235" s="30"/>
      <c r="E235" s="30"/>
      <c r="F235" s="30"/>
      <c r="G235" s="30"/>
      <c r="H235" s="30"/>
      <c r="I235" s="30"/>
      <c r="J235" s="30" t="str">
        <f t="shared" si="3"/>
        <v>pending</v>
      </c>
    </row>
    <row r="236" spans="1:10" ht="30" x14ac:dyDescent="0.25">
      <c r="A236" s="30" t="s">
        <v>1078</v>
      </c>
      <c r="B236" s="30" t="s">
        <v>1375</v>
      </c>
      <c r="C236" s="30" t="s">
        <v>1141</v>
      </c>
      <c r="D236" s="30"/>
      <c r="E236" s="30"/>
      <c r="F236" s="30"/>
      <c r="G236" s="30"/>
      <c r="H236" s="30"/>
      <c r="I236" s="30"/>
      <c r="J236" s="30" t="str">
        <f t="shared" si="3"/>
        <v>pending</v>
      </c>
    </row>
    <row r="237" spans="1:10" x14ac:dyDescent="0.25">
      <c r="A237" s="30" t="s">
        <v>1079</v>
      </c>
      <c r="B237" s="30" t="s">
        <v>1376</v>
      </c>
      <c r="C237" s="30" t="s">
        <v>1141</v>
      </c>
      <c r="D237" s="30"/>
      <c r="E237" s="30"/>
      <c r="F237" s="30"/>
      <c r="G237" s="30"/>
      <c r="H237" s="30"/>
      <c r="I237" s="30"/>
      <c r="J237" s="30" t="str">
        <f t="shared" si="3"/>
        <v>pending</v>
      </c>
    </row>
    <row r="238" spans="1:10" ht="30" x14ac:dyDescent="0.25">
      <c r="A238" s="30" t="s">
        <v>1080</v>
      </c>
      <c r="B238" s="30" t="s">
        <v>1377</v>
      </c>
      <c r="C238" s="30" t="s">
        <v>1141</v>
      </c>
      <c r="D238" s="30"/>
      <c r="E238" s="30"/>
      <c r="F238" s="30"/>
      <c r="G238" s="30"/>
      <c r="H238" s="30"/>
      <c r="I238" s="30"/>
      <c r="J238" s="30" t="str">
        <f t="shared" si="3"/>
        <v>pending</v>
      </c>
    </row>
    <row r="239" spans="1:10" ht="30" x14ac:dyDescent="0.25">
      <c r="A239" s="30" t="s">
        <v>1081</v>
      </c>
      <c r="B239" s="30" t="s">
        <v>1378</v>
      </c>
      <c r="C239" s="30" t="s">
        <v>1141</v>
      </c>
      <c r="D239" s="30"/>
      <c r="E239" s="30"/>
      <c r="F239" s="30"/>
      <c r="G239" s="30"/>
      <c r="H239" s="30"/>
      <c r="I239" s="30"/>
      <c r="J239" s="30" t="str">
        <f t="shared" si="3"/>
        <v>pending</v>
      </c>
    </row>
    <row r="240" spans="1:10" x14ac:dyDescent="0.25">
      <c r="A240" s="30" t="s">
        <v>1082</v>
      </c>
      <c r="B240" s="30" t="s">
        <v>1379</v>
      </c>
      <c r="C240" s="30" t="s">
        <v>1141</v>
      </c>
      <c r="D240" s="30"/>
      <c r="E240" s="30"/>
      <c r="F240" s="30"/>
      <c r="G240" s="30"/>
      <c r="H240" s="30"/>
      <c r="I240" s="30"/>
      <c r="J240" s="30" t="str">
        <f t="shared" si="3"/>
        <v>pending</v>
      </c>
    </row>
    <row r="241" spans="1:10" ht="30" x14ac:dyDescent="0.25">
      <c r="A241" s="30" t="s">
        <v>1083</v>
      </c>
      <c r="B241" s="30" t="s">
        <v>1380</v>
      </c>
      <c r="C241" s="30" t="s">
        <v>1141</v>
      </c>
      <c r="D241" s="30"/>
      <c r="E241" s="30"/>
      <c r="F241" s="30"/>
      <c r="G241" s="30"/>
      <c r="H241" s="30"/>
      <c r="I241" s="30"/>
      <c r="J241" s="30" t="str">
        <f t="shared" si="3"/>
        <v>pending</v>
      </c>
    </row>
    <row r="242" spans="1:10" x14ac:dyDescent="0.25">
      <c r="A242" s="30" t="s">
        <v>1084</v>
      </c>
      <c r="B242" s="30" t="s">
        <v>1381</v>
      </c>
      <c r="C242" s="30" t="s">
        <v>1141</v>
      </c>
      <c r="D242" s="30"/>
      <c r="E242" s="30"/>
      <c r="F242" s="30"/>
      <c r="G242" s="30"/>
      <c r="H242" s="30"/>
      <c r="I242" s="30"/>
      <c r="J242" s="30" t="str">
        <f t="shared" si="3"/>
        <v>pending</v>
      </c>
    </row>
    <row r="243" spans="1:10" ht="45" x14ac:dyDescent="0.25">
      <c r="A243" s="30" t="s">
        <v>1085</v>
      </c>
      <c r="B243" s="30" t="s">
        <v>1382</v>
      </c>
      <c r="C243" s="30" t="s">
        <v>1141</v>
      </c>
      <c r="D243" s="30"/>
      <c r="E243" s="30"/>
      <c r="F243" s="30"/>
      <c r="G243" s="30"/>
      <c r="H243" s="30"/>
      <c r="I243" s="30"/>
      <c r="J243" s="30" t="str">
        <f t="shared" si="3"/>
        <v>pending</v>
      </c>
    </row>
    <row r="244" spans="1:10" ht="30" x14ac:dyDescent="0.25">
      <c r="A244" s="30" t="s">
        <v>1086</v>
      </c>
      <c r="B244" s="30" t="s">
        <v>1383</v>
      </c>
      <c r="C244" s="30" t="s">
        <v>1141</v>
      </c>
      <c r="D244" s="30"/>
      <c r="E244" s="30"/>
      <c r="F244" s="30"/>
      <c r="G244" s="30"/>
      <c r="H244" s="30"/>
      <c r="I244" s="30"/>
      <c r="J244" s="30" t="str">
        <f t="shared" si="3"/>
        <v>pending</v>
      </c>
    </row>
    <row r="245" spans="1:10" x14ac:dyDescent="0.25">
      <c r="A245" s="30" t="s">
        <v>1087</v>
      </c>
      <c r="B245" s="30" t="s">
        <v>1384</v>
      </c>
      <c r="C245" s="30" t="s">
        <v>1141</v>
      </c>
      <c r="D245" s="30"/>
      <c r="E245" s="30"/>
      <c r="F245" s="30"/>
      <c r="G245" s="30"/>
      <c r="H245" s="30"/>
      <c r="I245" s="30"/>
      <c r="J245" s="30" t="str">
        <f t="shared" si="3"/>
        <v>pending</v>
      </c>
    </row>
    <row r="246" spans="1:10" x14ac:dyDescent="0.25">
      <c r="A246" s="30" t="s">
        <v>1088</v>
      </c>
      <c r="B246" s="30" t="s">
        <v>193</v>
      </c>
      <c r="C246" s="30" t="s">
        <v>1141</v>
      </c>
      <c r="D246" s="30"/>
      <c r="E246" s="30"/>
      <c r="F246" s="30"/>
      <c r="G246" s="30"/>
      <c r="H246" s="30"/>
      <c r="I246" s="30"/>
      <c r="J246" s="30" t="str">
        <f t="shared" si="3"/>
        <v>pending</v>
      </c>
    </row>
    <row r="247" spans="1:10" x14ac:dyDescent="0.25">
      <c r="A247" s="30" t="s">
        <v>1089</v>
      </c>
      <c r="B247" s="30" t="s">
        <v>1385</v>
      </c>
      <c r="C247" s="30" t="s">
        <v>1141</v>
      </c>
      <c r="D247" s="30"/>
      <c r="E247" s="30"/>
      <c r="F247" s="30"/>
      <c r="G247" s="30"/>
      <c r="H247" s="30"/>
      <c r="I247" s="30"/>
      <c r="J247" s="30" t="str">
        <f t="shared" si="3"/>
        <v>pending</v>
      </c>
    </row>
    <row r="248" spans="1:10" ht="30" x14ac:dyDescent="0.25">
      <c r="A248" s="30" t="s">
        <v>1090</v>
      </c>
      <c r="B248" s="30" t="s">
        <v>1386</v>
      </c>
      <c r="C248" s="30" t="s">
        <v>1141</v>
      </c>
      <c r="D248" s="30"/>
      <c r="E248" s="30"/>
      <c r="F248" s="30"/>
      <c r="G248" s="30"/>
      <c r="H248" s="30"/>
      <c r="I248" s="30"/>
      <c r="J248" s="30" t="str">
        <f t="shared" si="3"/>
        <v>pending</v>
      </c>
    </row>
    <row r="249" spans="1:10" ht="30" x14ac:dyDescent="0.25">
      <c r="A249" s="30" t="s">
        <v>1091</v>
      </c>
      <c r="B249" s="30" t="s">
        <v>1387</v>
      </c>
      <c r="C249" s="30" t="s">
        <v>1141</v>
      </c>
      <c r="D249" s="30"/>
      <c r="E249" s="30"/>
      <c r="F249" s="30"/>
      <c r="G249" s="30"/>
      <c r="H249" s="30"/>
      <c r="I249" s="30"/>
      <c r="J249" s="30" t="str">
        <f t="shared" si="3"/>
        <v>pending</v>
      </c>
    </row>
    <row r="250" spans="1:10" x14ac:dyDescent="0.25">
      <c r="A250" s="30" t="s">
        <v>1092</v>
      </c>
      <c r="B250" s="30" t="s">
        <v>1388</v>
      </c>
      <c r="C250" s="30" t="s">
        <v>1141</v>
      </c>
      <c r="D250" s="30"/>
      <c r="E250" s="30"/>
      <c r="F250" s="30"/>
      <c r="G250" s="30"/>
      <c r="H250" s="30"/>
      <c r="I250" s="30"/>
      <c r="J250" s="30" t="str">
        <f t="shared" si="3"/>
        <v>pending</v>
      </c>
    </row>
    <row r="251" spans="1:10" x14ac:dyDescent="0.25">
      <c r="A251" s="30" t="s">
        <v>1093</v>
      </c>
      <c r="B251" s="30" t="s">
        <v>1389</v>
      </c>
      <c r="C251" s="30" t="s">
        <v>1141</v>
      </c>
      <c r="D251" s="30"/>
      <c r="E251" s="30"/>
      <c r="F251" s="30"/>
      <c r="G251" s="30"/>
      <c r="H251" s="30"/>
      <c r="I251" s="30"/>
      <c r="J251" s="30" t="str">
        <f t="shared" si="3"/>
        <v>pending</v>
      </c>
    </row>
    <row r="252" spans="1:10" ht="30" x14ac:dyDescent="0.25">
      <c r="A252" s="30" t="s">
        <v>1094</v>
      </c>
      <c r="B252" s="30" t="s">
        <v>1390</v>
      </c>
      <c r="C252" s="30" t="s">
        <v>1141</v>
      </c>
      <c r="D252" s="30"/>
      <c r="E252" s="30"/>
      <c r="F252" s="30"/>
      <c r="G252" s="30"/>
      <c r="H252" s="30"/>
      <c r="I252" s="30"/>
      <c r="J252" s="30" t="str">
        <f t="shared" si="3"/>
        <v>pending</v>
      </c>
    </row>
    <row r="253" spans="1:10" ht="45" x14ac:dyDescent="0.25">
      <c r="A253" s="30" t="s">
        <v>1095</v>
      </c>
      <c r="B253" s="30" t="s">
        <v>1391</v>
      </c>
      <c r="C253" s="30" t="s">
        <v>1141</v>
      </c>
      <c r="D253" s="30"/>
      <c r="E253" s="30"/>
      <c r="F253" s="30"/>
      <c r="G253" s="30"/>
      <c r="H253" s="30"/>
      <c r="I253" s="30"/>
      <c r="J253" s="30" t="str">
        <f t="shared" si="3"/>
        <v>pending</v>
      </c>
    </row>
    <row r="254" spans="1:10" ht="30" x14ac:dyDescent="0.25">
      <c r="A254" s="30" t="s">
        <v>1096</v>
      </c>
      <c r="B254" s="30" t="s">
        <v>1392</v>
      </c>
      <c r="C254" s="30" t="s">
        <v>1141</v>
      </c>
      <c r="D254" s="30"/>
      <c r="E254" s="30"/>
      <c r="F254" s="30"/>
      <c r="G254" s="30"/>
      <c r="H254" s="30"/>
      <c r="I254" s="30"/>
      <c r="J254" s="30" t="str">
        <f t="shared" si="3"/>
        <v>pending</v>
      </c>
    </row>
    <row r="255" spans="1:10" ht="30" x14ac:dyDescent="0.25">
      <c r="A255" s="30" t="s">
        <v>1097</v>
      </c>
      <c r="B255" s="30" t="s">
        <v>1393</v>
      </c>
      <c r="C255" s="30" t="s">
        <v>1141</v>
      </c>
      <c r="D255" s="30"/>
      <c r="E255" s="30"/>
      <c r="F255" s="30"/>
      <c r="G255" s="30"/>
      <c r="H255" s="30"/>
      <c r="I255" s="30"/>
      <c r="J255" s="30" t="str">
        <f t="shared" si="3"/>
        <v>pending</v>
      </c>
    </row>
    <row r="256" spans="1:10" x14ac:dyDescent="0.25">
      <c r="A256" s="30" t="s">
        <v>1098</v>
      </c>
      <c r="B256" s="30" t="s">
        <v>1394</v>
      </c>
      <c r="C256" s="30" t="s">
        <v>1141</v>
      </c>
      <c r="D256" s="30"/>
      <c r="E256" s="30"/>
      <c r="F256" s="30"/>
      <c r="G256" s="30"/>
      <c r="H256" s="30"/>
      <c r="I256" s="30"/>
      <c r="J256" s="30" t="str">
        <f t="shared" si="3"/>
        <v>pending</v>
      </c>
    </row>
    <row r="257" spans="1:10" ht="30" x14ac:dyDescent="0.25">
      <c r="A257" s="30" t="s">
        <v>1099</v>
      </c>
      <c r="B257" s="30" t="s">
        <v>1395</v>
      </c>
      <c r="C257" s="30" t="s">
        <v>1141</v>
      </c>
      <c r="D257" s="30"/>
      <c r="E257" s="30"/>
      <c r="F257" s="30"/>
      <c r="G257" s="30"/>
      <c r="H257" s="30"/>
      <c r="I257" s="30"/>
      <c r="J257" s="30" t="str">
        <f t="shared" si="3"/>
        <v>pending</v>
      </c>
    </row>
    <row r="258" spans="1:10" ht="45" x14ac:dyDescent="0.25">
      <c r="A258" s="30" t="s">
        <v>1100</v>
      </c>
      <c r="B258" s="30" t="s">
        <v>1396</v>
      </c>
      <c r="C258" s="30" t="s">
        <v>1141</v>
      </c>
      <c r="D258" s="30"/>
      <c r="E258" s="30"/>
      <c r="F258" s="30"/>
      <c r="G258" s="30"/>
      <c r="H258" s="30"/>
      <c r="I258" s="30"/>
      <c r="J258" s="30" t="str">
        <f t="shared" si="3"/>
        <v>pending</v>
      </c>
    </row>
    <row r="259" spans="1:10" ht="30" x14ac:dyDescent="0.25">
      <c r="A259" s="30" t="s">
        <v>1101</v>
      </c>
      <c r="B259" s="30" t="s">
        <v>1397</v>
      </c>
      <c r="C259" s="30" t="s">
        <v>1141</v>
      </c>
      <c r="D259" s="30"/>
      <c r="E259" s="30"/>
      <c r="F259" s="30"/>
      <c r="G259" s="30"/>
      <c r="H259" s="30"/>
      <c r="I259" s="30"/>
      <c r="J259" s="30" t="str">
        <f t="shared" ref="J259:J297" si="4">IF(C259&lt;&gt;"-","done","pending")</f>
        <v>pending</v>
      </c>
    </row>
    <row r="260" spans="1:10" x14ac:dyDescent="0.25">
      <c r="A260" s="30" t="s">
        <v>1102</v>
      </c>
      <c r="B260" s="30" t="s">
        <v>1398</v>
      </c>
      <c r="C260" s="30" t="s">
        <v>1141</v>
      </c>
      <c r="D260" s="30"/>
      <c r="E260" s="30"/>
      <c r="F260" s="30"/>
      <c r="G260" s="30"/>
      <c r="H260" s="30"/>
      <c r="I260" s="30"/>
      <c r="J260" s="30" t="str">
        <f t="shared" si="4"/>
        <v>pending</v>
      </c>
    </row>
    <row r="261" spans="1:10" ht="30" x14ac:dyDescent="0.25">
      <c r="A261" s="30" t="s">
        <v>1103</v>
      </c>
      <c r="B261" s="30" t="s">
        <v>1399</v>
      </c>
      <c r="C261" s="30" t="s">
        <v>1141</v>
      </c>
      <c r="D261" s="30"/>
      <c r="E261" s="30"/>
      <c r="F261" s="30"/>
      <c r="G261" s="30"/>
      <c r="H261" s="30"/>
      <c r="I261" s="30"/>
      <c r="J261" s="30" t="str">
        <f t="shared" si="4"/>
        <v>pending</v>
      </c>
    </row>
    <row r="262" spans="1:10" x14ac:dyDescent="0.25">
      <c r="A262" s="30" t="s">
        <v>1104</v>
      </c>
      <c r="B262" s="30" t="s">
        <v>1400</v>
      </c>
      <c r="C262" s="30" t="s">
        <v>1141</v>
      </c>
      <c r="D262" s="30"/>
      <c r="E262" s="30"/>
      <c r="F262" s="30"/>
      <c r="G262" s="30"/>
      <c r="H262" s="30"/>
      <c r="I262" s="30"/>
      <c r="J262" s="30" t="str">
        <f t="shared" si="4"/>
        <v>pending</v>
      </c>
    </row>
    <row r="263" spans="1:10" ht="30" x14ac:dyDescent="0.25">
      <c r="A263" s="30" t="s">
        <v>1105</v>
      </c>
      <c r="B263" s="30" t="s">
        <v>1401</v>
      </c>
      <c r="C263" s="30" t="s">
        <v>1141</v>
      </c>
      <c r="D263" s="30"/>
      <c r="E263" s="30"/>
      <c r="F263" s="30"/>
      <c r="G263" s="30"/>
      <c r="H263" s="30"/>
      <c r="I263" s="30"/>
      <c r="J263" s="30" t="str">
        <f t="shared" si="4"/>
        <v>pending</v>
      </c>
    </row>
    <row r="264" spans="1:10" x14ac:dyDescent="0.25">
      <c r="A264" s="30" t="s">
        <v>1106</v>
      </c>
      <c r="B264" s="30" t="s">
        <v>1402</v>
      </c>
      <c r="C264" s="30" t="s">
        <v>1141</v>
      </c>
      <c r="D264" s="30"/>
      <c r="E264" s="30"/>
      <c r="F264" s="30"/>
      <c r="G264" s="30"/>
      <c r="H264" s="30"/>
      <c r="I264" s="30"/>
      <c r="J264" s="30" t="str">
        <f t="shared" si="4"/>
        <v>pending</v>
      </c>
    </row>
    <row r="265" spans="1:10" x14ac:dyDescent="0.25">
      <c r="A265" s="30" t="s">
        <v>1107</v>
      </c>
      <c r="B265" s="30" t="s">
        <v>1403</v>
      </c>
      <c r="C265" s="30" t="s">
        <v>1141</v>
      </c>
      <c r="D265" s="30"/>
      <c r="E265" s="30"/>
      <c r="F265" s="30"/>
      <c r="G265" s="30"/>
      <c r="H265" s="30"/>
      <c r="I265" s="30"/>
      <c r="J265" s="30" t="str">
        <f t="shared" si="4"/>
        <v>pending</v>
      </c>
    </row>
    <row r="266" spans="1:10" ht="30" x14ac:dyDescent="0.25">
      <c r="A266" s="30" t="s">
        <v>1108</v>
      </c>
      <c r="B266" s="30" t="s">
        <v>1404</v>
      </c>
      <c r="C266" s="30" t="s">
        <v>1141</v>
      </c>
      <c r="D266" s="30"/>
      <c r="E266" s="30"/>
      <c r="F266" s="30"/>
      <c r="G266" s="30"/>
      <c r="H266" s="30"/>
      <c r="I266" s="30"/>
      <c r="J266" s="30" t="str">
        <f t="shared" si="4"/>
        <v>pending</v>
      </c>
    </row>
    <row r="267" spans="1:10" x14ac:dyDescent="0.25">
      <c r="A267" s="30" t="s">
        <v>1109</v>
      </c>
      <c r="B267" s="30" t="s">
        <v>1405</v>
      </c>
      <c r="C267" s="30" t="s">
        <v>1141</v>
      </c>
      <c r="D267" s="30"/>
      <c r="E267" s="30"/>
      <c r="F267" s="30"/>
      <c r="G267" s="30"/>
      <c r="H267" s="30"/>
      <c r="I267" s="30"/>
      <c r="J267" s="30" t="str">
        <f t="shared" si="4"/>
        <v>pending</v>
      </c>
    </row>
    <row r="268" spans="1:10" x14ac:dyDescent="0.25">
      <c r="A268" s="30" t="s">
        <v>1110</v>
      </c>
      <c r="B268" s="30" t="s">
        <v>1406</v>
      </c>
      <c r="C268" s="30" t="s">
        <v>1141</v>
      </c>
      <c r="D268" s="30"/>
      <c r="E268" s="30"/>
      <c r="F268" s="30"/>
      <c r="G268" s="30"/>
      <c r="H268" s="30"/>
      <c r="I268" s="30"/>
      <c r="J268" s="30" t="str">
        <f t="shared" si="4"/>
        <v>pending</v>
      </c>
    </row>
    <row r="269" spans="1:10" x14ac:dyDescent="0.25">
      <c r="A269" s="30" t="s">
        <v>1111</v>
      </c>
      <c r="B269" s="30" t="s">
        <v>1407</v>
      </c>
      <c r="C269" s="30" t="s">
        <v>1141</v>
      </c>
      <c r="D269" s="30"/>
      <c r="E269" s="30"/>
      <c r="F269" s="30"/>
      <c r="G269" s="30"/>
      <c r="H269" s="30"/>
      <c r="I269" s="30"/>
      <c r="J269" s="30" t="str">
        <f t="shared" si="4"/>
        <v>pending</v>
      </c>
    </row>
    <row r="270" spans="1:10" x14ac:dyDescent="0.25">
      <c r="A270" s="30" t="s">
        <v>1112</v>
      </c>
      <c r="B270" s="30" t="s">
        <v>1408</v>
      </c>
      <c r="C270" s="30" t="s">
        <v>1141</v>
      </c>
      <c r="D270" s="30"/>
      <c r="E270" s="30"/>
      <c r="F270" s="30"/>
      <c r="G270" s="30"/>
      <c r="H270" s="30"/>
      <c r="I270" s="30"/>
      <c r="J270" s="30" t="str">
        <f t="shared" si="4"/>
        <v>pending</v>
      </c>
    </row>
    <row r="271" spans="1:10" ht="30" x14ac:dyDescent="0.25">
      <c r="A271" s="30" t="s">
        <v>1113</v>
      </c>
      <c r="B271" s="30" t="s">
        <v>1409</v>
      </c>
      <c r="C271" s="30" t="s">
        <v>1141</v>
      </c>
      <c r="D271" s="30"/>
      <c r="E271" s="30"/>
      <c r="F271" s="30"/>
      <c r="G271" s="30"/>
      <c r="H271" s="30"/>
      <c r="I271" s="30"/>
      <c r="J271" s="30" t="str">
        <f t="shared" si="4"/>
        <v>pending</v>
      </c>
    </row>
    <row r="272" spans="1:10" x14ac:dyDescent="0.25">
      <c r="A272" s="30" t="s">
        <v>1114</v>
      </c>
      <c r="B272" s="30" t="s">
        <v>1410</v>
      </c>
      <c r="C272" s="30" t="s">
        <v>1141</v>
      </c>
      <c r="D272" s="30"/>
      <c r="E272" s="30"/>
      <c r="F272" s="30"/>
      <c r="G272" s="30"/>
      <c r="H272" s="30"/>
      <c r="I272" s="30"/>
      <c r="J272" s="30" t="str">
        <f t="shared" si="4"/>
        <v>pending</v>
      </c>
    </row>
    <row r="273" spans="1:10" ht="45" x14ac:dyDescent="0.25">
      <c r="A273" s="30" t="s">
        <v>1115</v>
      </c>
      <c r="B273" s="30" t="s">
        <v>1411</v>
      </c>
      <c r="C273" s="30" t="s">
        <v>1141</v>
      </c>
      <c r="D273" s="30"/>
      <c r="E273" s="30"/>
      <c r="F273" s="30"/>
      <c r="G273" s="30"/>
      <c r="H273" s="30"/>
      <c r="I273" s="30"/>
      <c r="J273" s="30" t="str">
        <f t="shared" si="4"/>
        <v>pending</v>
      </c>
    </row>
    <row r="274" spans="1:10" ht="45" x14ac:dyDescent="0.25">
      <c r="A274" s="30" t="s">
        <v>1116</v>
      </c>
      <c r="B274" s="30" t="s">
        <v>1412</v>
      </c>
      <c r="C274" s="30" t="s">
        <v>1141</v>
      </c>
      <c r="D274" s="30"/>
      <c r="E274" s="30"/>
      <c r="F274" s="30"/>
      <c r="G274" s="30"/>
      <c r="H274" s="30"/>
      <c r="I274" s="30"/>
      <c r="J274" s="30" t="str">
        <f t="shared" si="4"/>
        <v>pending</v>
      </c>
    </row>
    <row r="275" spans="1:10" ht="45" x14ac:dyDescent="0.25">
      <c r="A275" s="30" t="s">
        <v>1117</v>
      </c>
      <c r="B275" s="30" t="s">
        <v>1413</v>
      </c>
      <c r="C275" s="30" t="s">
        <v>1141</v>
      </c>
      <c r="D275" s="30"/>
      <c r="E275" s="30"/>
      <c r="F275" s="30"/>
      <c r="G275" s="30"/>
      <c r="H275" s="30"/>
      <c r="I275" s="30"/>
      <c r="J275" s="30" t="str">
        <f t="shared" si="4"/>
        <v>pending</v>
      </c>
    </row>
    <row r="276" spans="1:10" ht="30" x14ac:dyDescent="0.25">
      <c r="A276" s="30" t="s">
        <v>1118</v>
      </c>
      <c r="B276" s="30" t="s">
        <v>1414</v>
      </c>
      <c r="C276" s="30" t="s">
        <v>1141</v>
      </c>
      <c r="D276" s="30"/>
      <c r="E276" s="30"/>
      <c r="F276" s="30"/>
      <c r="G276" s="30"/>
      <c r="H276" s="30"/>
      <c r="I276" s="30"/>
      <c r="J276" s="30" t="str">
        <f t="shared" si="4"/>
        <v>pending</v>
      </c>
    </row>
    <row r="277" spans="1:10" ht="45" x14ac:dyDescent="0.25">
      <c r="A277" s="30" t="s">
        <v>1119</v>
      </c>
      <c r="B277" s="30" t="s">
        <v>1415</v>
      </c>
      <c r="C277" s="30" t="s">
        <v>1141</v>
      </c>
      <c r="D277" s="30"/>
      <c r="E277" s="30"/>
      <c r="F277" s="30"/>
      <c r="G277" s="30"/>
      <c r="H277" s="30"/>
      <c r="I277" s="30"/>
      <c r="J277" s="30" t="str">
        <f t="shared" si="4"/>
        <v>pending</v>
      </c>
    </row>
    <row r="278" spans="1:10" ht="30" x14ac:dyDescent="0.25">
      <c r="A278" s="30" t="s">
        <v>1120</v>
      </c>
      <c r="B278" s="30" t="s">
        <v>1416</v>
      </c>
      <c r="C278" s="30" t="s">
        <v>1141</v>
      </c>
      <c r="D278" s="30"/>
      <c r="E278" s="30"/>
      <c r="F278" s="30"/>
      <c r="G278" s="30"/>
      <c r="H278" s="30"/>
      <c r="I278" s="30"/>
      <c r="J278" s="30" t="str">
        <f t="shared" si="4"/>
        <v>pending</v>
      </c>
    </row>
    <row r="279" spans="1:10" x14ac:dyDescent="0.25">
      <c r="A279" s="30" t="s">
        <v>1121</v>
      </c>
      <c r="B279" s="30" t="s">
        <v>1417</v>
      </c>
      <c r="C279" s="30" t="s">
        <v>1141</v>
      </c>
      <c r="D279" s="30"/>
      <c r="E279" s="30"/>
      <c r="F279" s="30"/>
      <c r="G279" s="30"/>
      <c r="H279" s="30"/>
      <c r="I279" s="30"/>
      <c r="J279" s="30" t="str">
        <f t="shared" si="4"/>
        <v>pending</v>
      </c>
    </row>
    <row r="280" spans="1:10" ht="30" x14ac:dyDescent="0.25">
      <c r="A280" s="30" t="s">
        <v>1122</v>
      </c>
      <c r="B280" s="30" t="s">
        <v>1418</v>
      </c>
      <c r="C280" s="30" t="s">
        <v>1141</v>
      </c>
      <c r="D280" s="30"/>
      <c r="E280" s="30"/>
      <c r="F280" s="30"/>
      <c r="G280" s="30"/>
      <c r="H280" s="30"/>
      <c r="I280" s="30"/>
      <c r="J280" s="30" t="str">
        <f t="shared" si="4"/>
        <v>pending</v>
      </c>
    </row>
    <row r="281" spans="1:10" x14ac:dyDescent="0.25">
      <c r="A281" s="30" t="s">
        <v>1123</v>
      </c>
      <c r="B281" s="30" t="s">
        <v>1419</v>
      </c>
      <c r="C281" s="30" t="s">
        <v>1141</v>
      </c>
      <c r="D281" s="30"/>
      <c r="E281" s="30"/>
      <c r="F281" s="30"/>
      <c r="G281" s="30"/>
      <c r="H281" s="30"/>
      <c r="I281" s="30"/>
      <c r="J281" s="30" t="str">
        <f t="shared" si="4"/>
        <v>pending</v>
      </c>
    </row>
    <row r="282" spans="1:10" ht="30" x14ac:dyDescent="0.25">
      <c r="A282" s="30" t="s">
        <v>1124</v>
      </c>
      <c r="B282" s="30" t="s">
        <v>1420</v>
      </c>
      <c r="C282" s="30" t="s">
        <v>1141</v>
      </c>
      <c r="D282" s="30"/>
      <c r="E282" s="30"/>
      <c r="F282" s="30"/>
      <c r="G282" s="30"/>
      <c r="H282" s="30"/>
      <c r="I282" s="30"/>
      <c r="J282" s="30" t="str">
        <f t="shared" si="4"/>
        <v>pending</v>
      </c>
    </row>
    <row r="283" spans="1:10" x14ac:dyDescent="0.25">
      <c r="A283" s="30" t="s">
        <v>1125</v>
      </c>
      <c r="B283" s="30" t="s">
        <v>1421</v>
      </c>
      <c r="C283" s="30" t="s">
        <v>1141</v>
      </c>
      <c r="D283" s="30"/>
      <c r="E283" s="30"/>
      <c r="F283" s="30"/>
      <c r="G283" s="30"/>
      <c r="H283" s="30"/>
      <c r="I283" s="30"/>
      <c r="J283" s="30" t="str">
        <f t="shared" si="4"/>
        <v>pending</v>
      </c>
    </row>
    <row r="284" spans="1:10" x14ac:dyDescent="0.25">
      <c r="A284" s="30" t="s">
        <v>1126</v>
      </c>
      <c r="B284" s="30" t="s">
        <v>1422</v>
      </c>
      <c r="C284" s="30" t="s">
        <v>1141</v>
      </c>
      <c r="D284" s="30"/>
      <c r="E284" s="30"/>
      <c r="F284" s="30"/>
      <c r="G284" s="30"/>
      <c r="H284" s="30"/>
      <c r="I284" s="30"/>
      <c r="J284" s="30" t="str">
        <f t="shared" si="4"/>
        <v>pending</v>
      </c>
    </row>
    <row r="285" spans="1:10" ht="30" x14ac:dyDescent="0.25">
      <c r="A285" s="30" t="s">
        <v>1127</v>
      </c>
      <c r="B285" s="30" t="s">
        <v>1423</v>
      </c>
      <c r="C285" s="30" t="s">
        <v>1141</v>
      </c>
      <c r="D285" s="30"/>
      <c r="E285" s="30"/>
      <c r="F285" s="30"/>
      <c r="G285" s="30"/>
      <c r="H285" s="30"/>
      <c r="I285" s="30"/>
      <c r="J285" s="30" t="str">
        <f t="shared" si="4"/>
        <v>pending</v>
      </c>
    </row>
    <row r="286" spans="1:10" ht="45" x14ac:dyDescent="0.25">
      <c r="A286" s="30" t="s">
        <v>1128</v>
      </c>
      <c r="B286" s="30" t="s">
        <v>1424</v>
      </c>
      <c r="C286" s="30" t="s">
        <v>1141</v>
      </c>
      <c r="D286" s="30"/>
      <c r="E286" s="30"/>
      <c r="F286" s="30"/>
      <c r="G286" s="30"/>
      <c r="H286" s="30"/>
      <c r="I286" s="30"/>
      <c r="J286" s="30" t="str">
        <f t="shared" si="4"/>
        <v>pending</v>
      </c>
    </row>
    <row r="287" spans="1:10" ht="30" x14ac:dyDescent="0.25">
      <c r="A287" s="30" t="s">
        <v>1129</v>
      </c>
      <c r="B287" s="30" t="s">
        <v>1425</v>
      </c>
      <c r="C287" s="30" t="s">
        <v>1141</v>
      </c>
      <c r="D287" s="30"/>
      <c r="E287" s="30"/>
      <c r="F287" s="30"/>
      <c r="G287" s="30"/>
      <c r="H287" s="30"/>
      <c r="I287" s="30"/>
      <c r="J287" s="30" t="str">
        <f t="shared" si="4"/>
        <v>pending</v>
      </c>
    </row>
    <row r="288" spans="1:10" x14ac:dyDescent="0.25">
      <c r="A288" s="30" t="s">
        <v>1130</v>
      </c>
      <c r="B288" s="30" t="s">
        <v>1426</v>
      </c>
      <c r="C288" s="30" t="s">
        <v>1141</v>
      </c>
      <c r="D288" s="30"/>
      <c r="E288" s="30"/>
      <c r="F288" s="30"/>
      <c r="G288" s="30"/>
      <c r="H288" s="30"/>
      <c r="I288" s="30"/>
      <c r="J288" s="30" t="str">
        <f t="shared" si="4"/>
        <v>pending</v>
      </c>
    </row>
    <row r="289" spans="1:10" ht="30" x14ac:dyDescent="0.25">
      <c r="A289" s="30" t="s">
        <v>1131</v>
      </c>
      <c r="B289" s="30" t="s">
        <v>1427</v>
      </c>
      <c r="C289" s="30" t="s">
        <v>1141</v>
      </c>
      <c r="D289" s="30"/>
      <c r="E289" s="30"/>
      <c r="F289" s="30"/>
      <c r="G289" s="30"/>
      <c r="H289" s="30"/>
      <c r="I289" s="30"/>
      <c r="J289" s="30" t="str">
        <f t="shared" si="4"/>
        <v>pending</v>
      </c>
    </row>
    <row r="290" spans="1:10" x14ac:dyDescent="0.25">
      <c r="A290" s="30" t="s">
        <v>1132</v>
      </c>
      <c r="B290" s="30" t="s">
        <v>1428</v>
      </c>
      <c r="C290" s="30" t="s">
        <v>1141</v>
      </c>
      <c r="D290" s="30"/>
      <c r="E290" s="30"/>
      <c r="F290" s="30"/>
      <c r="G290" s="30"/>
      <c r="H290" s="30"/>
      <c r="I290" s="30"/>
      <c r="J290" s="30" t="str">
        <f t="shared" si="4"/>
        <v>pending</v>
      </c>
    </row>
    <row r="291" spans="1:10" x14ac:dyDescent="0.25">
      <c r="A291" s="30" t="s">
        <v>1133</v>
      </c>
      <c r="B291" s="30" t="s">
        <v>1429</v>
      </c>
      <c r="C291" s="30" t="s">
        <v>1141</v>
      </c>
      <c r="D291" s="30"/>
      <c r="E291" s="30"/>
      <c r="F291" s="30"/>
      <c r="G291" s="30"/>
      <c r="H291" s="30"/>
      <c r="I291" s="30"/>
      <c r="J291" s="30" t="str">
        <f t="shared" si="4"/>
        <v>pending</v>
      </c>
    </row>
    <row r="292" spans="1:10" x14ac:dyDescent="0.25">
      <c r="A292" s="30" t="s">
        <v>1134</v>
      </c>
      <c r="B292" s="30" t="s">
        <v>1430</v>
      </c>
      <c r="C292" s="30" t="s">
        <v>1141</v>
      </c>
      <c r="D292" s="30"/>
      <c r="E292" s="30"/>
      <c r="F292" s="30"/>
      <c r="G292" s="30"/>
      <c r="H292" s="30"/>
      <c r="I292" s="30"/>
      <c r="J292" s="30" t="str">
        <f t="shared" si="4"/>
        <v>pending</v>
      </c>
    </row>
    <row r="293" spans="1:10" ht="30" x14ac:dyDescent="0.25">
      <c r="A293" s="30" t="s">
        <v>1135</v>
      </c>
      <c r="B293" s="30" t="s">
        <v>1431</v>
      </c>
      <c r="C293" s="30" t="s">
        <v>1141</v>
      </c>
      <c r="D293" s="30"/>
      <c r="E293" s="30"/>
      <c r="F293" s="30"/>
      <c r="G293" s="30"/>
      <c r="H293" s="30"/>
      <c r="I293" s="30"/>
      <c r="J293" s="30" t="str">
        <f t="shared" si="4"/>
        <v>pending</v>
      </c>
    </row>
    <row r="294" spans="1:10" ht="30" x14ac:dyDescent="0.25">
      <c r="A294" s="30" t="s">
        <v>1136</v>
      </c>
      <c r="B294" s="30" t="s">
        <v>1432</v>
      </c>
      <c r="C294" s="30" t="s">
        <v>1141</v>
      </c>
      <c r="D294" s="30"/>
      <c r="E294" s="30"/>
      <c r="F294" s="30"/>
      <c r="G294" s="30"/>
      <c r="H294" s="30"/>
      <c r="I294" s="30"/>
      <c r="J294" s="30" t="str">
        <f t="shared" si="4"/>
        <v>pending</v>
      </c>
    </row>
    <row r="295" spans="1:10" x14ac:dyDescent="0.25">
      <c r="A295" s="30" t="s">
        <v>1137</v>
      </c>
      <c r="B295" s="30" t="s">
        <v>1433</v>
      </c>
      <c r="C295" s="30" t="s">
        <v>1141</v>
      </c>
      <c r="D295" s="30"/>
      <c r="E295" s="30"/>
      <c r="F295" s="30"/>
      <c r="G295" s="30"/>
      <c r="H295" s="30"/>
      <c r="I295" s="30"/>
      <c r="J295" s="30" t="str">
        <f t="shared" si="4"/>
        <v>pending</v>
      </c>
    </row>
    <row r="296" spans="1:10" x14ac:dyDescent="0.25">
      <c r="A296" s="30" t="s">
        <v>1138</v>
      </c>
      <c r="B296" s="30" t="s">
        <v>1434</v>
      </c>
      <c r="C296" s="30" t="s">
        <v>1141</v>
      </c>
      <c r="D296" s="30"/>
      <c r="E296" s="30"/>
      <c r="F296" s="30"/>
      <c r="G296" s="30"/>
      <c r="H296" s="30"/>
      <c r="I296" s="30"/>
      <c r="J296" s="30" t="str">
        <f t="shared" si="4"/>
        <v>pending</v>
      </c>
    </row>
    <row r="297" spans="1:10" x14ac:dyDescent="0.25">
      <c r="A297" s="30" t="s">
        <v>1139</v>
      </c>
      <c r="B297" s="30" t="s">
        <v>1435</v>
      </c>
      <c r="C297" s="30" t="s">
        <v>1141</v>
      </c>
      <c r="D297" s="30"/>
      <c r="E297" s="30"/>
      <c r="F297" s="30"/>
      <c r="G297" s="30"/>
      <c r="H297" s="30"/>
      <c r="I297" s="30"/>
      <c r="J297" s="30" t="str">
        <f t="shared" si="4"/>
        <v>pending</v>
      </c>
    </row>
  </sheetData>
  <sortState xmlns:xlrd2="http://schemas.microsoft.com/office/spreadsheetml/2017/richdata2" ref="A2:A297">
    <sortCondition ref="A223:A297"/>
  </sortState>
  <conditionalFormatting sqref="A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2026-08-23T19:02:28Z</dcterms:modified>
</cp:coreProperties>
</file>